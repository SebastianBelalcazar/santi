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Poblacion" sheetId="2" state="visible" r:id="rId4"/>
    <sheet name="Dotacion_Caudales" sheetId="3" state="visible" r:id="rId5"/>
    <sheet name="Almacenamiento" sheetId="4" state="visible" r:id="rId6"/>
    <sheet name="UC_Hunter" sheetId="5" state="visible" r:id="rId7"/>
    <sheet name="Tramos" sheetId="6" state="visible" r:id="rId8"/>
    <sheet name="Acometida_Medidor" sheetId="7" state="visible" r:id="rId9"/>
    <sheet name="Equipo_Presion" sheetId="8" state="visible" r:id="rId10"/>
    <sheet name="Resumen" sheetId="9" state="visible" r:id="rId11"/>
    <sheet name="Tabla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<sst xmlns="http://schemas.openxmlformats.org/spreadsheetml/2006/main" count="907" uniqueCount="531">
  <si>
    <t xml:space="preserve">MEMORIA DE CÁLCULO – INSTALACIONES HIDRÁULICAS DE AGUA POTABLE</t>
  </si>
  <si>
    <t xml:space="preserve">DATOS GENERALES, NORMATIVA Y PROGRAMA ARQUITECTÓNICO</t>
  </si>
  <si>
    <t xml:space="preserve">Proyecto: Vivienda campestre unifamiliar – Restrepo (Valle del Cauca) | Rev. 0 | PENDIENTE: ajustar con planos arquitectónicos (D:\trabajo\proyecto\en curso\casa Restrepo)</t>
  </si>
  <si>
    <t xml:space="preserve">Leyenda: celdas AMARILLAS con texto AZUL = datos de entrada editables. Texto NEGRO = fórmulas. Texto VERDE = vínculos a otras hojas. Verificaciones en verde (CUMPLE) / rojo (NO CUMPLE).</t>
  </si>
  <si>
    <t xml:space="preserve">PENDIENTE: ajustar con planos arquitectónicos (D:\trabajo\proyecto\en curso\casa Restrepo)</t>
  </si>
  <si>
    <t xml:space="preserve">1. IDENTIFICACIÓN DEL PROYECTO</t>
  </si>
  <si>
    <t xml:space="preserve">Ítem</t>
  </si>
  <si>
    <t xml:space="preserve">Descripción</t>
  </si>
  <si>
    <t xml:space="preserve">Símbolo</t>
  </si>
  <si>
    <t xml:space="preserve">Valor</t>
  </si>
  <si>
    <t xml:space="preserve">Unidad</t>
  </si>
  <si>
    <t xml:space="preserve">Referencia normativa / criterio / observación</t>
  </si>
  <si>
    <t xml:space="preserve">1.1</t>
  </si>
  <si>
    <t xml:space="preserve">Proyecto</t>
  </si>
  <si>
    <t xml:space="preserve">Vivienda campestre unifamiliar</t>
  </si>
  <si>
    <t xml:space="preserve">1.2</t>
  </si>
  <si>
    <t xml:space="preserve">Municipio / departamento</t>
  </si>
  <si>
    <t xml:space="preserve">Restrepo, Valle del Cauca</t>
  </si>
  <si>
    <t xml:space="preserve">1.3</t>
  </si>
  <si>
    <t xml:space="preserve">Zona</t>
  </si>
  <si>
    <t xml:space="preserve">Rural – suelo suburbano / rural (verificar EOT Restrepo)</t>
  </si>
  <si>
    <t xml:space="preserve">Verificar uso del suelo en EOT municipal</t>
  </si>
  <si>
    <t xml:space="preserve">1.4</t>
  </si>
  <si>
    <t xml:space="preserve">Altitud media del predio</t>
  </si>
  <si>
    <t xml:space="preserve">z</t>
  </si>
  <si>
    <t xml:space="preserve">msnm</t>
  </si>
  <si>
    <t xml:space="preserve">PENDIENTE: confirmar con levantamiento topográfico</t>
  </si>
  <si>
    <t xml:space="preserve">1.5</t>
  </si>
  <si>
    <t xml:space="preserve">Temperatura media anual</t>
  </si>
  <si>
    <t xml:space="preserve">T</t>
  </si>
  <si>
    <t xml:space="preserve">°C</t>
  </si>
  <si>
    <t xml:space="preserve">Valor de referencia regional; confirmar con estación IDEAM más cercana</t>
  </si>
  <si>
    <t xml:space="preserve">1.6</t>
  </si>
  <si>
    <t xml:space="preserve">Autoridad ambiental</t>
  </si>
  <si>
    <t xml:space="preserve">CVC – Corporación Autónoma Regional del Valle del Cauca</t>
  </si>
  <si>
    <t xml:space="preserve">Permiso de vertimientos: Decreto 1076/2015</t>
  </si>
  <si>
    <t xml:space="preserve">1.7</t>
  </si>
  <si>
    <t xml:space="preserve">Fuente de abastecimiento</t>
  </si>
  <si>
    <t xml:space="preserve">Acueducto veredal / rural (punto de conexión)</t>
  </si>
  <si>
    <t xml:space="preserve">PENDIENTE: certificado de disponibilidad del prestador</t>
  </si>
  <si>
    <t xml:space="preserve">1.8</t>
  </si>
  <si>
    <t xml:space="preserve">Disposición de aguas residuales</t>
  </si>
  <si>
    <t xml:space="preserve">Sistema individual in situ: TG + TS + FAFA + campo de infiltración</t>
  </si>
  <si>
    <t xml:space="preserve">Sin red de alcantarillado público disponible</t>
  </si>
  <si>
    <t xml:space="preserve">1.9</t>
  </si>
  <si>
    <t xml:space="preserve">Revisión / fecha</t>
  </si>
  <si>
    <t xml:space="preserve">Rev. 0 – borrador para ajuste con planos</t>
  </si>
  <si>
    <t xml:space="preserve">2. PROGRAMA ARQUITECTÓNICO (EDITAR SEGÚN PLANOS)</t>
  </si>
  <si>
    <t xml:space="preserve">2.1</t>
  </si>
  <si>
    <t xml:space="preserve">Alcobas principales</t>
  </si>
  <si>
    <t xml:space="preserve">Na</t>
  </si>
  <si>
    <t xml:space="preserve">und</t>
  </si>
  <si>
    <t xml:space="preserve">2.2</t>
  </si>
  <si>
    <t xml:space="preserve">Alcobas de servicio</t>
  </si>
  <si>
    <t xml:space="preserve">Nas</t>
  </si>
  <si>
    <t xml:space="preserve">2.3</t>
  </si>
  <si>
    <t xml:space="preserve">Baños completos (sanitario + lavamanos + ducha)</t>
  </si>
  <si>
    <t xml:space="preserve">Nbc</t>
  </si>
  <si>
    <t xml:space="preserve">2.4</t>
  </si>
  <si>
    <t xml:space="preserve">Baños sociales (sanitario + lavamanos)</t>
  </si>
  <si>
    <t xml:space="preserve">Nbs</t>
  </si>
  <si>
    <t xml:space="preserve">2.5</t>
  </si>
  <si>
    <t xml:space="preserve">Cocinas (lavaplatos)</t>
  </si>
  <si>
    <t xml:space="preserve">Nc</t>
  </si>
  <si>
    <t xml:space="preserve">2.6</t>
  </si>
  <si>
    <t xml:space="preserve">Zonas de ropas (lavadero + lavadora)</t>
  </si>
  <si>
    <t xml:space="preserve">Nr</t>
  </si>
  <si>
    <t xml:space="preserve">2.7</t>
  </si>
  <si>
    <t xml:space="preserve">Zona BBQ / kiosco (lavaplatos exterior)</t>
  </si>
  <si>
    <t xml:space="preserve">Nbbq</t>
  </si>
  <si>
    <t xml:space="preserve">2.8</t>
  </si>
  <si>
    <t xml:space="preserve">Llaves de jardín / manguera</t>
  </si>
  <si>
    <t xml:space="preserve">Nj</t>
  </si>
  <si>
    <t xml:space="preserve">2.9</t>
  </si>
  <si>
    <t xml:space="preserve">Número de pisos</t>
  </si>
  <si>
    <t xml:space="preserve">Np</t>
  </si>
  <si>
    <t xml:space="preserve">2.10</t>
  </si>
  <si>
    <t xml:space="preserve">Área de cubierta (proyección horizontal)</t>
  </si>
  <si>
    <t xml:space="preserve">Ac</t>
  </si>
  <si>
    <t xml:space="preserve">m²</t>
  </si>
  <si>
    <t xml:space="preserve">2.11</t>
  </si>
  <si>
    <t xml:space="preserve">Área de patios / terrazas duras drenadas</t>
  </si>
  <si>
    <t xml:space="preserve">Ap</t>
  </si>
  <si>
    <t xml:space="preserve">2.12</t>
  </si>
  <si>
    <t xml:space="preserve">Área de zonas verdes / jardín con riego</t>
  </si>
  <si>
    <t xml:space="preserve">Av</t>
  </si>
  <si>
    <t xml:space="preserve">3. MARCO NORMATIVO APLICADO</t>
  </si>
  <si>
    <t xml:space="preserve">• RAS 2000 – Reglamento Técnico del Sector de Agua Potable y Saneamiento Básico (Res. 1096/2000): Título A (nivel de complejidad), Título B (población, dotación, caudales), Título D (alcantarillados), Título E (tratamiento de aguas residuales – sistemas in situ).</t>
  </si>
  <si>
    <t xml:space="preserve">• Resolución 0330 de 2017 (MinVivienda), modificada por la Res. 0799 de 2021 – reglamento técnico vigente (dotación neta máxima, pérdidas, coeficientes de diseño). Prevalece sobre RAS 2000 donde difieren.</t>
  </si>
  <si>
    <t xml:space="preserve">• NTC 1500:2017 – Código colombiano de instalaciones hidráulicas y sanitarias (aparatos, presiones, unidades de consumo y de descarga, ventilación, aguas lluvias).</t>
  </si>
  <si>
    <t xml:space="preserve">• Decreto 1077 de 2015 (sector vivienda) y Decreto 1076 de 2015 (sector ambiente – permiso de vertimientos ante la CVC).</t>
  </si>
  <si>
    <t xml:space="preserve">• Resolución 699 de 2021 (MinAmbiente) – vertimientos de ARD tratadas al suelo.</t>
  </si>
  <si>
    <t xml:space="preserve">• Criterios complementarios de referencia: NBR 7229/1993 y NBR 13969/1997 (tanque séptico y filtro anaerobio, base de las fórmulas del RAS 2000 Título E); USPHS Manual of Septic-Tank Practice (1967) – percolación; IPC (International Plumbing Code) – tablas de capacidad de desagües y bajantes pluviales.</t>
  </si>
  <si>
    <t xml:space="preserve">• NTC 1063 (ISO 4064) – medidores de agua potable.</t>
  </si>
  <si>
    <t xml:space="preserve">NOTA: los valores de tablas normativas transcritos en la hoja "Tablas" deben verificarse contra la edición vigente de cada norma antes de radicar la memoria.</t>
  </si>
  <si>
    <t xml:space="preserve">CÁLCULO DE POBLACIÓN DE DISEÑO POR USOS Y NIVEL DE COMPLEJIDAD (RAS 2000)</t>
  </si>
  <si>
    <t xml:space="preserve">La vivienda unifamiliar no requiere proyección demográfica (RAS 2000 B.2.2): la población se fija por capacidad de ocupación (alcobas) y se discrimina por tipo de uso/ocupante (permanente, servicio, flotante, empleados), conforme a RAS 2000 B.2.3 (usos) y B.2.4 (dotación por uso).</t>
  </si>
  <si>
    <t xml:space="preserve">1. PARÁMETROS DE OCUPACIÓN</t>
  </si>
  <si>
    <t xml:space="preserve">Ocupación por alcoba principal</t>
  </si>
  <si>
    <t xml:space="preserve">ha</t>
  </si>
  <si>
    <t xml:space="preserve">hab/alcoba</t>
  </si>
  <si>
    <t xml:space="preserve">Criterio usual de diseño de instalaciones internas (2 hab/alcoba)</t>
  </si>
  <si>
    <t xml:space="preserve">Ocupación por alcoba de servicio</t>
  </si>
  <si>
    <t xml:space="preserve">hs</t>
  </si>
  <si>
    <t xml:space="preserve">Criterio usual de diseño</t>
  </si>
  <si>
    <t xml:space="preserve">Población flotante – visitantes que pernoctan (ocupación pico fin de semana)</t>
  </si>
  <si>
    <t xml:space="preserve">Nv</t>
  </si>
  <si>
    <t xml:space="preserve">hab</t>
  </si>
  <si>
    <t xml:space="preserve">Uso recreacional campestre; PENDIENTE confirmar con propietario</t>
  </si>
  <si>
    <t xml:space="preserve">Población flotante – empleados sin pernoctación (mayordomo, jardinero, aseo)</t>
  </si>
  <si>
    <t xml:space="preserve">Ne</t>
  </si>
  <si>
    <t xml:space="preserve">emp</t>
  </si>
  <si>
    <t xml:space="preserve">PENDIENTE confirmar con propietario</t>
  </si>
  <si>
    <t xml:space="preserve">2. POBLACIÓN DE DISEÑO POR USOS</t>
  </si>
  <si>
    <t xml:space="preserve">Población residente permanente = Na × ha</t>
  </si>
  <si>
    <t xml:space="preserve">Pr</t>
  </si>
  <si>
    <t xml:space="preserve">RAS 2000 B.2.3 – uso residencial</t>
  </si>
  <si>
    <t xml:space="preserve">Población de servicio doméstico = Nas × hs</t>
  </si>
  <si>
    <t xml:space="preserve">Ps</t>
  </si>
  <si>
    <t xml:space="preserve">Uso residencial (pernocta)</t>
  </si>
  <si>
    <t xml:space="preserve">Población flotante que pernocta</t>
  </si>
  <si>
    <t xml:space="preserve">Pf</t>
  </si>
  <si>
    <t xml:space="preserve">RAS 2000 B.2.3 – población flotante</t>
  </si>
  <si>
    <t xml:space="preserve">Población con pernoctación (diseño residencial) = Pr + Ps + Pf</t>
  </si>
  <si>
    <t xml:space="preserve">Pp</t>
  </si>
  <si>
    <t xml:space="preserve">Se diseña para ocupación pico (casa campestre)</t>
  </si>
  <si>
    <t xml:space="preserve">Población flotante diurna (empleados)</t>
  </si>
  <si>
    <t xml:space="preserve">Pe</t>
  </si>
  <si>
    <t xml:space="preserve">Uso de servicio – dotación reducida</t>
  </si>
  <si>
    <t xml:space="preserve">Población total de diseño = Pp + Pe</t>
  </si>
  <si>
    <t xml:space="preserve">Pd</t>
  </si>
  <si>
    <t xml:space="preserve">3. NIVEL DE COMPLEJIDAD DEL SISTEMA (RAS 2000 TABLA A.3.1)</t>
  </si>
  <si>
    <t xml:space="preserve">3.1</t>
  </si>
  <si>
    <t xml:space="preserve">Índice de nivel según población servida</t>
  </si>
  <si>
    <t xml:space="preserve">i</t>
  </si>
  <si>
    <t xml:space="preserve">Bajo ≤ 2.500 hab; Medio 2.501–12.500; Medio alto 12.501–60.000; Alto &gt; 60.000</t>
  </si>
  <si>
    <t xml:space="preserve">3.2</t>
  </si>
  <si>
    <t xml:space="preserve">Nivel de complejidad</t>
  </si>
  <si>
    <t xml:space="preserve">NC</t>
  </si>
  <si>
    <t xml:space="preserve">Sistema individual unifamiliar → BAJO</t>
  </si>
  <si>
    <t xml:space="preserve">3.3</t>
  </si>
  <si>
    <t xml:space="preserve">Período de diseño de referencia (RAS 2000)</t>
  </si>
  <si>
    <t xml:space="preserve">n</t>
  </si>
  <si>
    <t xml:space="preserve">años</t>
  </si>
  <si>
    <t xml:space="preserve">Res. 0330/2017 fija 25 años para sistemas nuevos; en vivienda la población no varía con el horizonte</t>
  </si>
  <si>
    <t xml:space="preserve">4. DOTACIÓN NETA POR USO (RAS 2000 B.2.4 – RES. 0330/2017 ART. 43)</t>
  </si>
  <si>
    <t xml:space="preserve">4.1</t>
  </si>
  <si>
    <t xml:space="preserve">Dotación neta mínima RAS 2000 para el nivel</t>
  </si>
  <si>
    <t xml:space="preserve">dmín</t>
  </si>
  <si>
    <t xml:space="preserve">L/hab·d</t>
  </si>
  <si>
    <t xml:space="preserve">RAS 2000 Tabla B.2.2</t>
  </si>
  <si>
    <t xml:space="preserve">4.2</t>
  </si>
  <si>
    <t xml:space="preserve">Dotación neta máxima RAS 2000 para el nivel</t>
  </si>
  <si>
    <t xml:space="preserve">dmáx</t>
  </si>
  <si>
    <t xml:space="preserve">4.3</t>
  </si>
  <si>
    <t xml:space="preserve">Dotación neta base seleccionada (RAS 2000)</t>
  </si>
  <si>
    <t xml:space="preserve">d0</t>
  </si>
  <si>
    <t xml:space="preserve">Entre dmín y dmáx según usos de la vivienda</t>
  </si>
  <si>
    <t xml:space="preserve">4.4</t>
  </si>
  <si>
    <t xml:space="preserve">Dotación base dentro del rango RAS 2000</t>
  </si>
  <si>
    <t xml:space="preserve">✓</t>
  </si>
  <si>
    <t xml:space="preserve">4.5</t>
  </si>
  <si>
    <t xml:space="preserve">Corrección por clima (T media)</t>
  </si>
  <si>
    <t xml:space="preserve">Δc</t>
  </si>
  <si>
    <t xml:space="preserve">%</t>
  </si>
  <si>
    <t xml:space="preserve">RAS 2000 Tabla B.2.3: cálido (&gt;28 °C) +15 %; templado (20–28 °C) +10 %; frío (&lt;20 °C) sin corrección</t>
  </si>
  <si>
    <t xml:space="preserve">4.6</t>
  </si>
  <si>
    <t xml:space="preserve">Dotación neta corregida RAS 2000 = d0 × (1 + Δc)</t>
  </si>
  <si>
    <t xml:space="preserve">dRAS</t>
  </si>
  <si>
    <t xml:space="preserve">4.7</t>
  </si>
  <si>
    <t xml:space="preserve">Dotación neta máxima Res. 0330/2017 según altitud</t>
  </si>
  <si>
    <t xml:space="preserve">d0330</t>
  </si>
  <si>
    <t xml:space="preserve">Art. 43: &gt;2.000 msnm: 120; 1.000–2.000 msnm: 130; &lt;1.000 msnm: 140 L/hab·d</t>
  </si>
  <si>
    <t xml:space="preserve">4.8</t>
  </si>
  <si>
    <t xml:space="preserve">Dotación neta adoptada – uso residencial = MÍN(dRAS; d0330)</t>
  </si>
  <si>
    <t xml:space="preserve">dn</t>
  </si>
  <si>
    <t xml:space="preserve">Se adopta el menor valor (norma vigente prevalece)</t>
  </si>
  <si>
    <t xml:space="preserve">4.9</t>
  </si>
  <si>
    <t xml:space="preserve">Dotación neta – empleados sin pernoctación</t>
  </si>
  <si>
    <t xml:space="preserve">de</t>
  </si>
  <si>
    <t xml:space="preserve">L/emp·d</t>
  </si>
  <si>
    <t xml:space="preserve">Criterio para personal de jornada diurna (NBR 7229 – ocupantes temporales: 50 L/pers·d)</t>
  </si>
  <si>
    <t xml:space="preserve">5. CONSUMO NETO POR USOS</t>
  </si>
  <si>
    <t xml:space="preserve">Uso / tipo de ocupante</t>
  </si>
  <si>
    <t xml:space="preserve">Población (hab)</t>
  </si>
  <si>
    <t xml:space="preserve">Dotación neta (L/hab·d)</t>
  </si>
  <si>
    <t xml:space="preserve">Consumo neto (L/d)</t>
  </si>
  <si>
    <t xml:space="preserve">Residentes permanentes</t>
  </si>
  <si>
    <t xml:space="preserve">Servicio doméstico</t>
  </si>
  <si>
    <t xml:space="preserve">Flotante – visitantes que pernoctan</t>
  </si>
  <si>
    <t xml:space="preserve">Flotante – empleados diurnos</t>
  </si>
  <si>
    <t xml:space="preserve">TOTAL</t>
  </si>
  <si>
    <t xml:space="preserve">5.1</t>
  </si>
  <si>
    <t xml:space="preserve">Población equivalente = Consumo neto / dn</t>
  </si>
  <si>
    <t xml:space="preserve">Peq</t>
  </si>
  <si>
    <t xml:space="preserve">hab-eq</t>
  </si>
  <si>
    <t xml:space="preserve">Para cargas y comparación</t>
  </si>
  <si>
    <t xml:space="preserve">DOTACIÓN BRUTA Y CAUDALES DE DISEÑO</t>
  </si>
  <si>
    <t xml:space="preserve">1. PÉRDIDAS TÉCNICAS</t>
  </si>
  <si>
    <t xml:space="preserve">Pérdidas técnicas máximas RAS 2000 para el nivel</t>
  </si>
  <si>
    <t xml:space="preserve">pRAS</t>
  </si>
  <si>
    <t xml:space="preserve">RAS 2000 Tabla B.2.4</t>
  </si>
  <si>
    <t xml:space="preserve">Porcentaje de pérdidas técnicas adoptado</t>
  </si>
  <si>
    <t xml:space="preserve">p</t>
  </si>
  <si>
    <t xml:space="preserve">Res. 0330/2017 art. 44: máximo 25 % para diseño</t>
  </si>
  <si>
    <t xml:space="preserve">Pérdidas adoptadas ≤ 25 % (Res. 0330/2017)</t>
  </si>
  <si>
    <t xml:space="preserve">Res. 0330/2017 art. 44</t>
  </si>
  <si>
    <t xml:space="preserve">2. DOTACIÓN BRUTA</t>
  </si>
  <si>
    <t xml:space="preserve">Dotación bruta residencial = dn / (1 − p)</t>
  </si>
  <si>
    <t xml:space="preserve">dbr</t>
  </si>
  <si>
    <t xml:space="preserve">RAS 2000 B.2.6 / Res. 0330/2017 art. 44</t>
  </si>
  <si>
    <t xml:space="preserve">Dotación bruta empleados = de / (1 − p)</t>
  </si>
  <si>
    <t xml:space="preserve">dbe</t>
  </si>
  <si>
    <t xml:space="preserve">Consumo bruto doméstico = Consumo neto / (1 − p)</t>
  </si>
  <si>
    <t xml:space="preserve">Cb</t>
  </si>
  <si>
    <t xml:space="preserve">L/d</t>
  </si>
  <si>
    <t xml:space="preserve">Consumo neto: hoja Poblacion</t>
  </si>
  <si>
    <t xml:space="preserve">3. USOS ADICIONALES</t>
  </si>
  <si>
    <t xml:space="preserve">Incluir riego de jardín con agua potable (1 = sí, 0 = no)</t>
  </si>
  <si>
    <t xml:space="preserve">Ir</t>
  </si>
  <si>
    <t xml:space="preserve">Recomendable usar aguas lluvias para riego</t>
  </si>
  <si>
    <t xml:space="preserve">Lámina de riego</t>
  </si>
  <si>
    <t xml:space="preserve">qr</t>
  </si>
  <si>
    <t xml:space="preserve">L/m²·d</t>
  </si>
  <si>
    <t xml:space="preserve">Criterio usual de diseño (NTC 1500 – riego de jardines)</t>
  </si>
  <si>
    <t xml:space="preserve">Consumo por riego = Av × qr × Ir</t>
  </si>
  <si>
    <t xml:space="preserve">Criego</t>
  </si>
  <si>
    <t xml:space="preserve">4. CAUDALES DE DISEÑO</t>
  </si>
  <si>
    <t xml:space="preserve">Caudal medio diario Qmd = (Cb + Criego) / 86.400</t>
  </si>
  <si>
    <t xml:space="preserve">Qmd</t>
  </si>
  <si>
    <t xml:space="preserve">L/s</t>
  </si>
  <si>
    <t xml:space="preserve">RAS 2000 B.2.7.1</t>
  </si>
  <si>
    <t xml:space="preserve">Caudal medio diario</t>
  </si>
  <si>
    <t xml:space="preserve">m³/d</t>
  </si>
  <si>
    <t xml:space="preserve">Coeficiente de consumo máximo diario k1</t>
  </si>
  <si>
    <t xml:space="preserve">k1</t>
  </si>
  <si>
    <t xml:space="preserve">RAS 2000 Tabla B.2.5; Res. 0330/2017 (k1 = 1,30)</t>
  </si>
  <si>
    <t xml:space="preserve">Caudal máximo diario QMD = k1 × Qmd</t>
  </si>
  <si>
    <t xml:space="preserve">QMD</t>
  </si>
  <si>
    <t xml:space="preserve">RAS 2000 B.2.7.2</t>
  </si>
  <si>
    <t xml:space="preserve">Coeficiente de consumo máximo horario k2</t>
  </si>
  <si>
    <t xml:space="preserve">k2</t>
  </si>
  <si>
    <t xml:space="preserve">RAS 2000 Tabla B.2.6 (red menor de distribución)</t>
  </si>
  <si>
    <t xml:space="preserve">Caudal máximo horario QMH = k2 × QMD</t>
  </si>
  <si>
    <t xml:space="preserve">QMH</t>
  </si>
  <si>
    <t xml:space="preserve">RAS 2000 B.2.7.3</t>
  </si>
  <si>
    <t xml:space="preserve">El caudal instantáneo de la red interna se determina por el método de Hunter (hoja UC_Hunter), que gobierna el dimensionamiento de tuberías y del equipo de presión. QMD gobierna la acometida y QMH se reporta al prestador.</t>
  </si>
  <si>
    <t xml:space="preserve">TANQUE DE RESERVA DE AGUA POTABLE</t>
  </si>
  <si>
    <t xml:space="preserve">Esquema adoptado: acometida del acueducto veredal → medidor → tanque de reserva a nivel de terreno → equipo de presión → red interna. Se justifica por suministro rural intermitente y presión de red no garantizada.</t>
  </si>
  <si>
    <t xml:space="preserve">1. VOLUMEN REQUERIDO</t>
  </si>
  <si>
    <t xml:space="preserve">Consumo diario a almacenar = Consumo neto + Criego</t>
  </si>
  <si>
    <t xml:space="preserve">Cd</t>
  </si>
  <si>
    <t xml:space="preserve">Las pérdidas técnicas corresponden a la red de distribución, no al consumo interno</t>
  </si>
  <si>
    <t xml:space="preserve">Días de reserva</t>
  </si>
  <si>
    <t xml:space="preserve">nd</t>
  </si>
  <si>
    <t xml:space="preserve">d</t>
  </si>
  <si>
    <t xml:space="preserve">NTC 1500: reserva mínima equivalente al consumo de 1 día; en zona rural se recomienda 1–2 días</t>
  </si>
  <si>
    <t xml:space="preserve">Volumen para protección contra incendio</t>
  </si>
  <si>
    <t xml:space="preserve">Vi</t>
  </si>
  <si>
    <t xml:space="preserve">L</t>
  </si>
  <si>
    <t xml:space="preserve">No exigido para vivienda unifamiliar (NSR-10 Títulos J y K)</t>
  </si>
  <si>
    <t xml:space="preserve">Volumen requerido = Cd × nd + Vi</t>
  </si>
  <si>
    <t xml:space="preserve">Vreq</t>
  </si>
  <si>
    <t xml:space="preserve">2. SELECCIÓN DEL TANQUE</t>
  </si>
  <si>
    <t xml:space="preserve">Capacidad del tanque comercial</t>
  </si>
  <si>
    <t xml:space="preserve">Vt</t>
  </si>
  <si>
    <t xml:space="preserve">Tanque plástico tipo comercial (NTC 4080)</t>
  </si>
  <si>
    <t xml:space="preserve">Número de tanques = REDONDEAR.MAS(Vreq / Vt)</t>
  </si>
  <si>
    <t xml:space="preserve">Volumen instalado = n × Vt</t>
  </si>
  <si>
    <t xml:space="preserve">Vinst</t>
  </si>
  <si>
    <t xml:space="preserve">Volumen instalado ≥ volumen requerido</t>
  </si>
  <si>
    <t xml:space="preserve">Autonomía con consumo medio</t>
  </si>
  <si>
    <t xml:space="preserve">ta</t>
  </si>
  <si>
    <t xml:space="preserve">h</t>
  </si>
  <si>
    <t xml:space="preserve">Tiempo de llenado con caudal de acometida</t>
  </si>
  <si>
    <t xml:space="preserve">tll</t>
  </si>
  <si>
    <t xml:space="preserve">Ver hoja Acometida_Medidor</t>
  </si>
  <si>
    <t xml:space="preserve">3. ALTERNATIVA: TANQUE EN CONCRETO (INFORMATIVO)</t>
  </si>
  <si>
    <t xml:space="preserve">Altura útil</t>
  </si>
  <si>
    <t xml:space="preserve">hu</t>
  </si>
  <si>
    <t xml:space="preserve">m</t>
  </si>
  <si>
    <t xml:space="preserve">Más borde libre ≥ 0,30 m</t>
  </si>
  <si>
    <t xml:space="preserve">Área en planta requerida = Vreq / hu</t>
  </si>
  <si>
    <t xml:space="preserve">A</t>
  </si>
  <si>
    <t xml:space="preserve">Ancho (relación L/B = 1,5)</t>
  </si>
  <si>
    <t xml:space="preserve">B</t>
  </si>
  <si>
    <t xml:space="preserve">3.4</t>
  </si>
  <si>
    <t xml:space="preserve">Largo</t>
  </si>
  <si>
    <t xml:space="preserve">UNIDADES DE CONSUMO Y CAUDAL MÁXIMO PROBABLE (MÉTODO DE HUNTER)</t>
  </si>
  <si>
    <t xml:space="preserve">Cantidades vinculadas al programa arquitectónico (hoja Datos). UC por aparato de uso privado (NTC 1500 – Hunter).</t>
  </si>
  <si>
    <t xml:space="preserve">1. UNIDADES DE CONSUMO POR APARATO</t>
  </si>
  <si>
    <t xml:space="preserve">Aparato</t>
  </si>
  <si>
    <t xml:space="preserve">Cantidad (und)</t>
  </si>
  <si>
    <t xml:space="preserve">UC por aparato</t>
  </si>
  <si>
    <t xml:space="preserve">UC totales</t>
  </si>
  <si>
    <t xml:space="preserve">Ø mín. alimentación</t>
  </si>
  <si>
    <t xml:space="preserve">Presión mín. de servicio (m.c.a.)</t>
  </si>
  <si>
    <t xml:space="preserve">Sanitario con tanque</t>
  </si>
  <si>
    <t xml:space="preserve">1/2"</t>
  </si>
  <si>
    <t xml:space="preserve">Lavamanos</t>
  </si>
  <si>
    <t xml:space="preserve">Ducha</t>
  </si>
  <si>
    <t xml:space="preserve">Lavaplatos cocina</t>
  </si>
  <si>
    <t xml:space="preserve">Lavaplatos BBQ / kiosco</t>
  </si>
  <si>
    <t xml:space="preserve">Lavadero</t>
  </si>
  <si>
    <t xml:space="preserve">Lavadora</t>
  </si>
  <si>
    <t xml:space="preserve">Llave de jardín / manguera</t>
  </si>
  <si>
    <t xml:space="preserve">Caudal máximo probable Q = f(ΣUC) – interpolación curva de Hunter (L/s)</t>
  </si>
  <si>
    <t xml:space="preserve">Gobierna la red interna y el equipo de presión</t>
  </si>
  <si>
    <t xml:space="preserve">Relación Q Hunter / QMH (simultaneidad instantánea vs. horaria)</t>
  </si>
  <si>
    <t xml:space="preserve">DISEÑO HIDRÁULICO DE TRAMOS HASTA EL APARATO CRÍTICO (HAZEN-WILLIAMS)</t>
  </si>
  <si>
    <t xml:space="preserve">Ruta crítica: equipo de presión → aparato más desfavorable (mayor pérdida + mayor cota). UC acumuladas, longitudes y accesorios son SUPUESTOS hasta disponer de planos; agregar filas copiando la última si la ruta tiene más tramos.</t>
  </si>
  <si>
    <t xml:space="preserve">1. PARÁMETROS DE DISEÑO</t>
  </si>
  <si>
    <t xml:space="preserve">Coeficiente de Hazen-Williams PVC</t>
  </si>
  <si>
    <t xml:space="preserve">RAS 2000 B.6 / NTC 1500 – PVC C = 150</t>
  </si>
  <si>
    <t xml:space="preserve">Velocidad máxima</t>
  </si>
  <si>
    <t xml:space="preserve">m/s</t>
  </si>
  <si>
    <t xml:space="preserve">NTC 1500 – control de ruido y golpe de ariete (criterio ≤ 2,0 m/s)</t>
  </si>
  <si>
    <t xml:space="preserve">Presión al inicio de la red (arranque del equipo de presión)</t>
  </si>
  <si>
    <t xml:space="preserve">m.c.a.</t>
  </si>
  <si>
    <t xml:space="preserve">20 psi; ver hoja Equipo_Presion</t>
  </si>
  <si>
    <t xml:space="preserve">Presión mínima residual en el aparato crítico</t>
  </si>
  <si>
    <t xml:space="preserve">Máx. presión mínima de servicio de los aparatos (hoja UC_Hunter); NTC 1500 ≥ 2 m.c.a.</t>
  </si>
  <si>
    <t xml:space="preserve">2. CÁLCULO POR TRAMOS</t>
  </si>
  <si>
    <t xml:space="preserve">Tramo</t>
  </si>
  <si>
    <t xml:space="preserve">UC acumuladas</t>
  </si>
  <si>
    <t xml:space="preserve">Q (L/s)</t>
  </si>
  <si>
    <t xml:space="preserve">Ø nominal</t>
  </si>
  <si>
    <t xml:space="preserve">Ø interno (mm)</t>
  </si>
  <si>
    <t xml:space="preserve">V (m/s)</t>
  </si>
  <si>
    <t xml:space="preserve">L real (m)</t>
  </si>
  <si>
    <t xml:space="preserve">L equiv. accesorios (m)</t>
  </si>
  <si>
    <t xml:space="preserve">L total (m)</t>
  </si>
  <si>
    <t xml:space="preserve">J (m/m)</t>
  </si>
  <si>
    <t xml:space="preserve">hf (m)</t>
  </si>
  <si>
    <t xml:space="preserve">Δz (m) (+ sube)</t>
  </si>
  <si>
    <t xml:space="preserve">P inicial (m.c.a.)</t>
  </si>
  <si>
    <t xml:space="preserve">P final (m.c.a.)</t>
  </si>
  <si>
    <t xml:space="preserve">Verif. velocidad</t>
  </si>
  <si>
    <t xml:space="preserve">Verif. presión</t>
  </si>
  <si>
    <t xml:space="preserve">T1</t>
  </si>
  <si>
    <t xml:space="preserve">Equipo de presión → derivación general</t>
  </si>
  <si>
    <t xml:space="preserve">1-1/4"</t>
  </si>
  <si>
    <t xml:space="preserve">T2</t>
  </si>
  <si>
    <t xml:space="preserve">Derivación general → zona de baños</t>
  </si>
  <si>
    <t xml:space="preserve">1"</t>
  </si>
  <si>
    <t xml:space="preserve">T3</t>
  </si>
  <si>
    <t xml:space="preserve">Zona de baños → baño principal</t>
  </si>
  <si>
    <t xml:space="preserve">3/4"</t>
  </si>
  <si>
    <t xml:space="preserve">T4</t>
  </si>
  <si>
    <t xml:space="preserve">Baño principal → ducha (aparato crítico)</t>
  </si>
  <si>
    <t xml:space="preserve">Caudal de diseño de la red (tramo inicial)</t>
  </si>
  <si>
    <t xml:space="preserve">Pérdida total en la ruta crítica Σhf</t>
  </si>
  <si>
    <t xml:space="preserve">Desnivel total en la ruta crítica ΣΔz</t>
  </si>
  <si>
    <t xml:space="preserve">Presión residual en el aparato crítico</t>
  </si>
  <si>
    <t xml:space="preserve">Longitudes equivalentes de accesorios según tablas de fabricante (codos, tees, válvulas, registros). J = 10,67·Q^1,852 / (C^1,852·D^4,87) con Q en m³/s y D en m.</t>
  </si>
  <si>
    <t xml:space="preserve">Velocidad ≤ Vmáx en todos los tramos</t>
  </si>
  <si>
    <t xml:space="preserve">Presión residual ≥ presión mínima en la ruta crítica</t>
  </si>
  <si>
    <t xml:space="preserve">ACOMETIDA Y MEDIDOR</t>
  </si>
  <si>
    <t xml:space="preserve">1. DATOS</t>
  </si>
  <si>
    <t xml:space="preserve">Presión disponible en la red veredal en el punto de conexión</t>
  </si>
  <si>
    <t xml:space="preserve">PENDIENTE: certificado del prestador</t>
  </si>
  <si>
    <t xml:space="preserve">Longitud de acometida hasta el tanque</t>
  </si>
  <si>
    <t xml:space="preserve">La</t>
  </si>
  <si>
    <t xml:space="preserve">Longitud equivalente de accesorios (registro, medidor, válvula flotador)</t>
  </si>
  <si>
    <t xml:space="preserve">Le</t>
  </si>
  <si>
    <t xml:space="preserve">Desnivel red → entrada del tanque (+ sube)</t>
  </si>
  <si>
    <t xml:space="preserve">Δz</t>
  </si>
  <si>
    <t xml:space="preserve">Tiempo objetivo de llenado del tanque</t>
  </si>
  <si>
    <t xml:space="preserve">to</t>
  </si>
  <si>
    <t xml:space="preserve">Criterio de diseño (reposición nocturna)</t>
  </si>
  <si>
    <t xml:space="preserve">Diámetro nominal de acometida</t>
  </si>
  <si>
    <t xml:space="preserve">Ø</t>
  </si>
  <si>
    <t xml:space="preserve">Lista desplegable</t>
  </si>
  <si>
    <t xml:space="preserve">Presión mínima en la válvula de flotador</t>
  </si>
  <si>
    <t xml:space="preserve">NTC 1500 ≥ 2 m.c.a.</t>
  </si>
  <si>
    <t xml:space="preserve">2. CÁLCULO HIDRÁULICO</t>
  </si>
  <si>
    <t xml:space="preserve">Caudal de acometida = MÁX(QMD; Vinst / (to·3600))</t>
  </si>
  <si>
    <t xml:space="preserve">Qa</t>
  </si>
  <si>
    <t xml:space="preserve">Ver hojas Dotacion_Caudales y Almacenamiento</t>
  </si>
  <si>
    <t xml:space="preserve">Diámetro interno</t>
  </si>
  <si>
    <t xml:space="preserve">Di</t>
  </si>
  <si>
    <t xml:space="preserve">mm</t>
  </si>
  <si>
    <t xml:space="preserve">Hoja Tablas</t>
  </si>
  <si>
    <t xml:space="preserve">Velocidad</t>
  </si>
  <si>
    <t xml:space="preserve">V</t>
  </si>
  <si>
    <t xml:space="preserve">Velocidad en acometida ≤ Vmáx</t>
  </si>
  <si>
    <t xml:space="preserve">NTC 1500</t>
  </si>
  <si>
    <t xml:space="preserve">Pérdidas (Hazen-Williams) = J × (La + Le)</t>
  </si>
  <si>
    <t xml:space="preserve">hf</t>
  </si>
  <si>
    <t xml:space="preserve">Presión en la entrada del tanque = Pr − hf − Δz</t>
  </si>
  <si>
    <t xml:space="preserve">Presión en flotador ≥ mínima</t>
  </si>
  <si>
    <t xml:space="preserve">3. MEDIDOR</t>
  </si>
  <si>
    <t xml:space="preserve">Caudal de acometida</t>
  </si>
  <si>
    <t xml:space="preserve">m³/h</t>
  </si>
  <si>
    <t xml:space="preserve">Caudal permanente del medidor (mismo Ø de acometida)</t>
  </si>
  <si>
    <t xml:space="preserve">Q3</t>
  </si>
  <si>
    <t xml:space="preserve">NTC 1063-1 (ISO 4064)</t>
  </si>
  <si>
    <t xml:space="preserve">Caudal de acometida ≤ Q3 del medidor</t>
  </si>
  <si>
    <t xml:space="preserve">NTC 1063-1</t>
  </si>
  <si>
    <t xml:space="preserve">EQUIPO DE PRESIÓN (MOTOBOMBA + TANQUE HIDROACUMULADOR)</t>
  </si>
  <si>
    <t xml:space="preserve">1. CAUDAL Y ALTURA DINÁMICA TOTAL</t>
  </si>
  <si>
    <t xml:space="preserve">Caudal de bombeo = Q máximo probable de la red (Hunter)</t>
  </si>
  <si>
    <t xml:space="preserve">Qb</t>
  </si>
  <si>
    <t xml:space="preserve">Hoja Tramos (tramo inicial)</t>
  </si>
  <si>
    <t xml:space="preserve">Altura estática de succión (eje bomba − nivel mínimo tanque; + si succión negativa)</t>
  </si>
  <si>
    <t xml:space="preserve">Hs</t>
  </si>
  <si>
    <t xml:space="preserve">Pérdidas en succión y descarga del equipo (accesorios, válvulas, cheque)</t>
  </si>
  <si>
    <t xml:space="preserve">hfs</t>
  </si>
  <si>
    <t xml:space="preserve">Diferencial de presión arranque–paro</t>
  </si>
  <si>
    <t xml:space="preserve">ΔP</t>
  </si>
  <si>
    <t xml:space="preserve">20 psi (presostato 20–40 psi)</t>
  </si>
  <si>
    <t xml:space="preserve">Presión de paro = P arranque + ΔP</t>
  </si>
  <si>
    <t xml:space="preserve">Pparo</t>
  </si>
  <si>
    <t xml:space="preserve">P arranque en hoja Tramos</t>
  </si>
  <si>
    <t xml:space="preserve">Altura dinámica total ADT = Hs + hfs + Pparo</t>
  </si>
  <si>
    <t xml:space="preserve">ADT</t>
  </si>
  <si>
    <t xml:space="preserve">P arranque cubre Σhf + ΣΔz + Pmín de la ruta crítica</t>
  </si>
  <si>
    <t xml:space="preserve">Coherencia con hoja Tramos</t>
  </si>
  <si>
    <t xml:space="preserve">Presión de paro ≤ 50 m.c.a. (protección de aparatos)</t>
  </si>
  <si>
    <t xml:space="preserve">NTC 1500 – presión máxima en aparatos</t>
  </si>
  <si>
    <t xml:space="preserve">2. POTENCIA</t>
  </si>
  <si>
    <t xml:space="preserve">Eficiencia del conjunto motobomba</t>
  </si>
  <si>
    <t xml:space="preserve">η</t>
  </si>
  <si>
    <t xml:space="preserve">Curva del fabricante; típica 0,45–0,60 en equipos domésticos</t>
  </si>
  <si>
    <t xml:space="preserve">Potencia = Qb · ADT / (76 · η)</t>
  </si>
  <si>
    <t xml:space="preserve">P</t>
  </si>
  <si>
    <t xml:space="preserve">HP</t>
  </si>
  <si>
    <t xml:space="preserve">Q en L/s, ADT en m</t>
  </si>
  <si>
    <t xml:space="preserve">Potencia comercial seleccionada</t>
  </si>
  <si>
    <t xml:space="preserve">Pc</t>
  </si>
  <si>
    <t xml:space="preserve">Siguiente potencia comercial</t>
  </si>
  <si>
    <t xml:space="preserve">3. TANQUE HIDROACUMULADOR</t>
  </si>
  <si>
    <t xml:space="preserve">Número máximo de arranques por hora</t>
  </si>
  <si>
    <t xml:space="preserve">N</t>
  </si>
  <si>
    <t xml:space="preserve">arr/h</t>
  </si>
  <si>
    <t xml:space="preserve">Ficha técnica del motor (≤ 1 HP: 15–20)</t>
  </si>
  <si>
    <t xml:space="preserve">Duración del ciclo = 3.600 / N</t>
  </si>
  <si>
    <t xml:space="preserve">Tc</t>
  </si>
  <si>
    <t xml:space="preserve">s</t>
  </si>
  <si>
    <t xml:space="preserve">Volumen útil = Qb · Tc / 4</t>
  </si>
  <si>
    <t xml:space="preserve">Vu</t>
  </si>
  <si>
    <t xml:space="preserve">Criterio de ciclo de bombeo</t>
  </si>
  <si>
    <t xml:space="preserve">Presión atmosférica local</t>
  </si>
  <si>
    <t xml:space="preserve">Patm</t>
  </si>
  <si>
    <t xml:space="preserve">Atmósfera estándar a la altitud del predio</t>
  </si>
  <si>
    <t xml:space="preserve">3.5</t>
  </si>
  <si>
    <t xml:space="preserve">Volumen total = Vu · (Pparo + Patm) / (Pparo − Parr)</t>
  </si>
  <si>
    <t xml:space="preserve">Vh</t>
  </si>
  <si>
    <t xml:space="preserve">Ley de Boyle (presiones absolutas)</t>
  </si>
  <si>
    <t xml:space="preserve">3.6</t>
  </si>
  <si>
    <t xml:space="preserve">Volumen del hidroacumulador comercial seleccionado</t>
  </si>
  <si>
    <t xml:space="preserve">Vhc</t>
  </si>
  <si>
    <t xml:space="preserve">Alternativa: equipo de velocidad variable con tanque según fabricante</t>
  </si>
  <si>
    <t xml:space="preserve">3.7</t>
  </si>
  <si>
    <t xml:space="preserve">Volumen comercial ≥ volumen requerido</t>
  </si>
  <si>
    <t xml:space="preserve">RESUMEN DE RESULTADOS Y VERIFICACIONES</t>
  </si>
  <si>
    <t xml:space="preserve">1. RESULTADOS PRINCIPALES</t>
  </si>
  <si>
    <t xml:space="preserve">Nivel de complejidad (RAS 2000)</t>
  </si>
  <si>
    <t xml:space="preserve">Población con pernoctación (diseño)</t>
  </si>
  <si>
    <t xml:space="preserve">Población total de diseño</t>
  </si>
  <si>
    <t xml:space="preserve">Dotación neta adoptada – residencial</t>
  </si>
  <si>
    <t xml:space="preserve">Consumo neto total</t>
  </si>
  <si>
    <t xml:space="preserve">Caudal medio diario Qmd</t>
  </si>
  <si>
    <t xml:space="preserve">Caudal máximo diario QMD</t>
  </si>
  <si>
    <t xml:space="preserve">Caudal máximo horario QMH</t>
  </si>
  <si>
    <t xml:space="preserve">1.10</t>
  </si>
  <si>
    <t xml:space="preserve">Volumen de reserva requerido</t>
  </si>
  <si>
    <t xml:space="preserve">1.11</t>
  </si>
  <si>
    <t xml:space="preserve">Volumen de reserva instalado</t>
  </si>
  <si>
    <t xml:space="preserve">1.12</t>
  </si>
  <si>
    <t xml:space="preserve">Unidades de consumo totales</t>
  </si>
  <si>
    <t xml:space="preserve">UC</t>
  </si>
  <si>
    <t xml:space="preserve">1.13</t>
  </si>
  <si>
    <t xml:space="preserve">Caudal máximo probable (Hunter)</t>
  </si>
  <si>
    <t xml:space="preserve">1.14</t>
  </si>
  <si>
    <t xml:space="preserve">Presión residual en aparato crítico</t>
  </si>
  <si>
    <t xml:space="preserve">1.15</t>
  </si>
  <si>
    <t xml:space="preserve">Diámetro de acometida</t>
  </si>
  <si>
    <t xml:space="preserve">1.16</t>
  </si>
  <si>
    <t xml:space="preserve">1.17</t>
  </si>
  <si>
    <t xml:space="preserve">Altura dinámica total del equipo</t>
  </si>
  <si>
    <t xml:space="preserve">1.18</t>
  </si>
  <si>
    <t xml:space="preserve">Potencia comercial de motobomba</t>
  </si>
  <si>
    <t xml:space="preserve">1.19</t>
  </si>
  <si>
    <t xml:space="preserve">Volumen de hidroacumulador requerido</t>
  </si>
  <si>
    <t xml:space="preserve">2. VERIFICACIONES NORMATIVAS Y DE CRITERIO</t>
  </si>
  <si>
    <t xml:space="preserve">Verificación</t>
  </si>
  <si>
    <t xml:space="preserve">Hoja</t>
  </si>
  <si>
    <t xml:space="preserve">Resultado</t>
  </si>
  <si>
    <t xml:space="preserve">Observación</t>
  </si>
  <si>
    <t xml:space="preserve">Poblacion</t>
  </si>
  <si>
    <t xml:space="preserve">Dotacion_Caudales</t>
  </si>
  <si>
    <t xml:space="preserve">Almacenamiento</t>
  </si>
  <si>
    <t xml:space="preserve">Tramos</t>
  </si>
  <si>
    <t xml:space="preserve">Acometida_Medidor</t>
  </si>
  <si>
    <t xml:space="preserve">Equipo_Presion</t>
  </si>
  <si>
    <t xml:space="preserve">Número de verificaciones que NO CUMPLEN</t>
  </si>
  <si>
    <t xml:space="preserve">Debe ser 0 para aprobar el diseño</t>
  </si>
  <si>
    <t xml:space="preserve">ESTADO GLOBAL DEL DISEÑO</t>
  </si>
  <si>
    <t xml:space="preserve">Todas las verificaciones deben cumplir</t>
  </si>
  <si>
    <t xml:space="preserve">TABLAS DE REFERENCIA</t>
  </si>
  <si>
    <t xml:space="preserve">1. CURVA DE HUNTER – GASTO PROBABLE (TANQUE)</t>
  </si>
  <si>
    <t xml:space="preserve">Hunter (1940). Fuente: IPC Tabla E103.3(3), aparatos con tanque. Conversión 1 gpm = 0,0631 L/s. Método de gastos probables aceptado por NTC 1500.</t>
  </si>
  <si>
    <t xml:space="preserve">Unidades (UC / UD)</t>
  </si>
  <si>
    <t xml:space="preserve">Q (gpm)</t>
  </si>
  <si>
    <t xml:space="preserve">2. RAS 2000 – NIVEL DE COMPLEJIDAD Y PARÁMETROS ASOCIADOS</t>
  </si>
  <si>
    <t xml:space="preserve">Tabla A.3.1 (nivel por población), B.2.2 (dotación neta mín./máx.), B.2.4 (pérdidas técnicas máx.), B.2.5 (k1), B.2.6 (k2, red menor de distribución), período de diseño (RAS 2000).</t>
  </si>
  <si>
    <t xml:space="preserve">Nivel</t>
  </si>
  <si>
    <t xml:space="preserve">Población desde (hab)</t>
  </si>
  <si>
    <t xml:space="preserve">Dot. neta mín. (L/hab·d)</t>
  </si>
  <si>
    <t xml:space="preserve">Dot. neta máx. (L/hab·d)</t>
  </si>
  <si>
    <t xml:space="preserve">% pérdidas máx.</t>
  </si>
  <si>
    <t xml:space="preserve">Período diseño (años)</t>
  </si>
  <si>
    <t xml:space="preserve">BAJO</t>
  </si>
  <si>
    <t xml:space="preserve">MEDIO</t>
  </si>
  <si>
    <t xml:space="preserve">MEDIO ALTO</t>
  </si>
  <si>
    <t xml:space="preserve">ALTO</t>
  </si>
  <si>
    <t xml:space="preserve">3. TUBERÍA PVC PRESIÓN – DIÁMETROS INTERNOS</t>
  </si>
  <si>
    <t xml:space="preserve">Valores típicos de catálogo PVC presión (NTC 382). Verificar con el fabricante seleccionado.</t>
  </si>
  <si>
    <t xml:space="preserve">RDE</t>
  </si>
  <si>
    <t xml:space="preserve">Ø externo (mm)</t>
  </si>
  <si>
    <t xml:space="preserve">Espesor (mm)</t>
  </si>
  <si>
    <t xml:space="preserve">RDE 13,5</t>
  </si>
  <si>
    <t xml:space="preserve">RDE 21</t>
  </si>
  <si>
    <t xml:space="preserve">1-1/2"</t>
  </si>
  <si>
    <t xml:space="preserve">2"</t>
  </si>
  <si>
    <t xml:space="preserve">4. MEDIDORES – CAUDAL PERMANENTE Q3</t>
  </si>
  <si>
    <t xml:space="preserve">NTC 1063-1 (ISO 4064-1). Valores típicos de Q3 por diámetro; verificar con ficha técnica del medidor exigido por el prestador.</t>
  </si>
  <si>
    <t xml:space="preserve">Q3 (m³/h)</t>
  </si>
  <si>
    <t xml:space="preserve">5. POTENCIAS COMERCIALES DE MOTOBOMBA</t>
  </si>
  <si>
    <t xml:space="preserve">Potencia (HP)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</si>
</sst>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"/>
    <numFmt numFmtId="167" formatCode="0"/>
    <numFmt numFmtId="168" formatCode="0%"/>
    <numFmt numFmtId="169" formatCode="#,##0.0"/>
    <numFmt numFmtId="170" formatCode="0.0000"/>
    <numFmt numFmtId="171" formatCode="0.00"/>
    <numFmt numFmtId="172" formatCode="General"/>
    <numFmt numFmtId="173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2EFDA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25.5" hidden="false" customHeight="true" outlineLevel="0" collapsed="false">
      <c r="B5" s="4" t="s">
        <v>3</v>
      </c>
      <c r="C5" s="4"/>
      <c r="D5" s="4"/>
      <c r="E5" s="4"/>
      <c r="F5" s="4"/>
    </row>
    <row r="6" customFormat="false" ht="12.75" hidden="false" customHeight="true" outlineLevel="0" collapsed="false">
      <c r="B6" s="5" t="s">
        <v>4</v>
      </c>
      <c r="C6" s="5"/>
      <c r="D6" s="5"/>
      <c r="E6" s="5"/>
      <c r="F6" s="5"/>
    </row>
    <row r="8" customFormat="false" ht="15" hidden="false" customHeight="false" outlineLevel="0" collapsed="false">
      <c r="A8" s="6" t="s">
        <v>5</v>
      </c>
      <c r="B8" s="6"/>
      <c r="C8" s="6"/>
      <c r="D8" s="6"/>
      <c r="E8" s="6"/>
      <c r="F8" s="6"/>
    </row>
    <row r="9" customFormat="false" ht="15" hidden="false" customHeight="false" outlineLevel="0" collapsed="false">
      <c r="A9" s="7" t="s">
        <v>6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11</v>
      </c>
    </row>
    <row r="10" customFormat="false" ht="35.05" hidden="false" customHeight="false" outlineLevel="0" collapsed="false">
      <c r="A10" s="8" t="s">
        <v>12</v>
      </c>
      <c r="B10" s="9" t="s">
        <v>13</v>
      </c>
      <c r="C10" s="8"/>
      <c r="D10" s="10" t="s">
        <v>14</v>
      </c>
      <c r="E10" s="8"/>
      <c r="F10" s="11"/>
    </row>
    <row r="11" customFormat="false" ht="23.85" hidden="false" customHeight="false" outlineLevel="0" collapsed="false">
      <c r="A11" s="8" t="s">
        <v>15</v>
      </c>
      <c r="B11" s="9" t="s">
        <v>16</v>
      </c>
      <c r="C11" s="8"/>
      <c r="D11" s="10" t="s">
        <v>17</v>
      </c>
      <c r="E11" s="8"/>
      <c r="F11" s="11"/>
    </row>
    <row r="12" customFormat="false" ht="46.25" hidden="false" customHeight="false" outlineLevel="0" collapsed="false">
      <c r="A12" s="8" t="s">
        <v>18</v>
      </c>
      <c r="B12" s="9" t="s">
        <v>19</v>
      </c>
      <c r="C12" s="8"/>
      <c r="D12" s="10" t="s">
        <v>20</v>
      </c>
      <c r="E12" s="8"/>
      <c r="F12" s="11" t="s">
        <v>21</v>
      </c>
    </row>
    <row r="13" customFormat="false" ht="15" hidden="false" customHeight="false" outlineLevel="0" collapsed="false">
      <c r="A13" s="8" t="s">
        <v>22</v>
      </c>
      <c r="B13" s="9" t="s">
        <v>23</v>
      </c>
      <c r="C13" s="8" t="s">
        <v>24</v>
      </c>
      <c r="D13" s="12" t="n">
        <v>1400</v>
      </c>
      <c r="E13" s="8" t="s">
        <v>25</v>
      </c>
      <c r="F13" s="11" t="s">
        <v>26</v>
      </c>
    </row>
    <row r="14" customFormat="false" ht="15" hidden="false" customHeight="false" outlineLevel="0" collapsed="false">
      <c r="A14" s="8" t="s">
        <v>27</v>
      </c>
      <c r="B14" s="9" t="s">
        <v>28</v>
      </c>
      <c r="C14" s="8" t="s">
        <v>29</v>
      </c>
      <c r="D14" s="13" t="n">
        <v>20</v>
      </c>
      <c r="E14" s="8" t="s">
        <v>30</v>
      </c>
      <c r="F14" s="11" t="s">
        <v>31</v>
      </c>
    </row>
    <row r="15" customFormat="false" ht="57.45" hidden="false" customHeight="false" outlineLevel="0" collapsed="false">
      <c r="A15" s="8" t="s">
        <v>32</v>
      </c>
      <c r="B15" s="9" t="s">
        <v>33</v>
      </c>
      <c r="C15" s="8"/>
      <c r="D15" s="10" t="s">
        <v>34</v>
      </c>
      <c r="E15" s="8"/>
      <c r="F15" s="11" t="s">
        <v>35</v>
      </c>
    </row>
    <row r="16" customFormat="false" ht="46.25" hidden="false" customHeight="false" outlineLevel="0" collapsed="false">
      <c r="A16" s="8" t="s">
        <v>36</v>
      </c>
      <c r="B16" s="9" t="s">
        <v>37</v>
      </c>
      <c r="C16" s="8"/>
      <c r="D16" s="10" t="s">
        <v>38</v>
      </c>
      <c r="E16" s="8"/>
      <c r="F16" s="11" t="s">
        <v>39</v>
      </c>
    </row>
    <row r="17" customFormat="false" ht="57.45" hidden="false" customHeight="false" outlineLevel="0" collapsed="false">
      <c r="A17" s="8" t="s">
        <v>40</v>
      </c>
      <c r="B17" s="9" t="s">
        <v>41</v>
      </c>
      <c r="C17" s="8"/>
      <c r="D17" s="10" t="s">
        <v>42</v>
      </c>
      <c r="E17" s="8"/>
      <c r="F17" s="11" t="s">
        <v>43</v>
      </c>
    </row>
    <row r="18" customFormat="false" ht="35.05" hidden="false" customHeight="false" outlineLevel="0" collapsed="false">
      <c r="A18" s="8" t="s">
        <v>44</v>
      </c>
      <c r="B18" s="9" t="s">
        <v>45</v>
      </c>
      <c r="C18" s="8"/>
      <c r="D18" s="10" t="s">
        <v>46</v>
      </c>
      <c r="E18" s="8"/>
      <c r="F18" s="11"/>
    </row>
    <row r="20" customFormat="false" ht="15" hidden="false" customHeight="false" outlineLevel="0" collapsed="false">
      <c r="A20" s="6" t="s">
        <v>47</v>
      </c>
      <c r="B20" s="6"/>
      <c r="C20" s="6"/>
      <c r="D20" s="6"/>
      <c r="E20" s="6"/>
      <c r="F20" s="6"/>
    </row>
    <row r="21" customFormat="false" ht="15" hidden="false" customHeight="false" outlineLevel="0" collapsed="false">
      <c r="A21" s="7" t="s">
        <v>6</v>
      </c>
      <c r="B21" s="7" t="s">
        <v>7</v>
      </c>
      <c r="C21" s="7" t="s">
        <v>8</v>
      </c>
      <c r="D21" s="7" t="s">
        <v>9</v>
      </c>
      <c r="E21" s="7" t="s">
        <v>10</v>
      </c>
      <c r="F21" s="7" t="s">
        <v>11</v>
      </c>
    </row>
    <row r="22" customFormat="false" ht="15" hidden="false" customHeight="false" outlineLevel="0" collapsed="false">
      <c r="A22" s="8" t="s">
        <v>48</v>
      </c>
      <c r="B22" s="9" t="s">
        <v>49</v>
      </c>
      <c r="C22" s="8" t="s">
        <v>50</v>
      </c>
      <c r="D22" s="14" t="n">
        <v>3</v>
      </c>
      <c r="E22" s="8" t="s">
        <v>51</v>
      </c>
      <c r="F22" s="11" t="s">
        <v>4</v>
      </c>
    </row>
    <row r="23" customFormat="false" ht="15" hidden="false" customHeight="false" outlineLevel="0" collapsed="false">
      <c r="A23" s="8" t="s">
        <v>52</v>
      </c>
      <c r="B23" s="9" t="s">
        <v>53</v>
      </c>
      <c r="C23" s="8" t="s">
        <v>54</v>
      </c>
      <c r="D23" s="14" t="n">
        <v>1</v>
      </c>
      <c r="E23" s="8" t="s">
        <v>51</v>
      </c>
      <c r="F23" s="11" t="s">
        <v>4</v>
      </c>
    </row>
    <row r="24" customFormat="false" ht="15" hidden="false" customHeight="false" outlineLevel="0" collapsed="false">
      <c r="A24" s="8" t="s">
        <v>55</v>
      </c>
      <c r="B24" s="9" t="s">
        <v>56</v>
      </c>
      <c r="C24" s="8" t="s">
        <v>57</v>
      </c>
      <c r="D24" s="14" t="n">
        <v>2</v>
      </c>
      <c r="E24" s="8" t="s">
        <v>51</v>
      </c>
      <c r="F24" s="11" t="s">
        <v>4</v>
      </c>
    </row>
    <row r="25" customFormat="false" ht="15" hidden="false" customHeight="false" outlineLevel="0" collapsed="false">
      <c r="A25" s="8" t="s">
        <v>58</v>
      </c>
      <c r="B25" s="9" t="s">
        <v>59</v>
      </c>
      <c r="C25" s="8" t="s">
        <v>60</v>
      </c>
      <c r="D25" s="14" t="n">
        <v>1</v>
      </c>
      <c r="E25" s="8" t="s">
        <v>51</v>
      </c>
      <c r="F25" s="11" t="s">
        <v>4</v>
      </c>
    </row>
    <row r="26" customFormat="false" ht="15" hidden="false" customHeight="false" outlineLevel="0" collapsed="false">
      <c r="A26" s="8" t="s">
        <v>61</v>
      </c>
      <c r="B26" s="9" t="s">
        <v>62</v>
      </c>
      <c r="C26" s="8" t="s">
        <v>63</v>
      </c>
      <c r="D26" s="14" t="n">
        <v>1</v>
      </c>
      <c r="E26" s="8" t="s">
        <v>51</v>
      </c>
      <c r="F26" s="11" t="s">
        <v>4</v>
      </c>
    </row>
    <row r="27" customFormat="false" ht="15" hidden="false" customHeight="false" outlineLevel="0" collapsed="false">
      <c r="A27" s="8" t="s">
        <v>64</v>
      </c>
      <c r="B27" s="9" t="s">
        <v>65</v>
      </c>
      <c r="C27" s="8" t="s">
        <v>66</v>
      </c>
      <c r="D27" s="14" t="n">
        <v>1</v>
      </c>
      <c r="E27" s="8" t="s">
        <v>51</v>
      </c>
      <c r="F27" s="11" t="s">
        <v>4</v>
      </c>
    </row>
    <row r="28" customFormat="false" ht="15" hidden="false" customHeight="false" outlineLevel="0" collapsed="false">
      <c r="A28" s="8" t="s">
        <v>67</v>
      </c>
      <c r="B28" s="9" t="s">
        <v>68</v>
      </c>
      <c r="C28" s="8" t="s">
        <v>69</v>
      </c>
      <c r="D28" s="14" t="n">
        <v>1</v>
      </c>
      <c r="E28" s="8" t="s">
        <v>51</v>
      </c>
      <c r="F28" s="11" t="s">
        <v>4</v>
      </c>
    </row>
    <row r="29" customFormat="false" ht="15" hidden="false" customHeight="false" outlineLevel="0" collapsed="false">
      <c r="A29" s="8" t="s">
        <v>70</v>
      </c>
      <c r="B29" s="9" t="s">
        <v>71</v>
      </c>
      <c r="C29" s="8" t="s">
        <v>72</v>
      </c>
      <c r="D29" s="14" t="n">
        <v>2</v>
      </c>
      <c r="E29" s="8" t="s">
        <v>51</v>
      </c>
      <c r="F29" s="11" t="s">
        <v>4</v>
      </c>
    </row>
    <row r="30" customFormat="false" ht="15" hidden="false" customHeight="false" outlineLevel="0" collapsed="false">
      <c r="A30" s="8" t="s">
        <v>73</v>
      </c>
      <c r="B30" s="9" t="s">
        <v>74</v>
      </c>
      <c r="C30" s="8" t="s">
        <v>75</v>
      </c>
      <c r="D30" s="14" t="n">
        <v>1</v>
      </c>
      <c r="E30" s="8" t="s">
        <v>51</v>
      </c>
      <c r="F30" s="11" t="s">
        <v>4</v>
      </c>
    </row>
    <row r="31" customFormat="false" ht="15" hidden="false" customHeight="false" outlineLevel="0" collapsed="false">
      <c r="A31" s="8" t="s">
        <v>76</v>
      </c>
      <c r="B31" s="9" t="s">
        <v>77</v>
      </c>
      <c r="C31" s="8" t="s">
        <v>78</v>
      </c>
      <c r="D31" s="13" t="n">
        <v>180</v>
      </c>
      <c r="E31" s="8" t="s">
        <v>79</v>
      </c>
      <c r="F31" s="11" t="s">
        <v>4</v>
      </c>
    </row>
    <row r="32" customFormat="false" ht="15" hidden="false" customHeight="false" outlineLevel="0" collapsed="false">
      <c r="A32" s="8" t="s">
        <v>80</v>
      </c>
      <c r="B32" s="9" t="s">
        <v>81</v>
      </c>
      <c r="C32" s="8" t="s">
        <v>82</v>
      </c>
      <c r="D32" s="13" t="n">
        <v>40</v>
      </c>
      <c r="E32" s="8" t="s">
        <v>79</v>
      </c>
      <c r="F32" s="11" t="s">
        <v>4</v>
      </c>
    </row>
    <row r="33" customFormat="false" ht="15" hidden="false" customHeight="false" outlineLevel="0" collapsed="false">
      <c r="A33" s="8" t="s">
        <v>83</v>
      </c>
      <c r="B33" s="9" t="s">
        <v>84</v>
      </c>
      <c r="C33" s="8" t="s">
        <v>85</v>
      </c>
      <c r="D33" s="13" t="n">
        <v>300</v>
      </c>
      <c r="E33" s="8" t="s">
        <v>79</v>
      </c>
      <c r="F33" s="11" t="s">
        <v>4</v>
      </c>
    </row>
    <row r="35" customFormat="false" ht="15" hidden="false" customHeight="false" outlineLevel="0" collapsed="false">
      <c r="A35" s="6" t="s">
        <v>86</v>
      </c>
      <c r="B35" s="6"/>
      <c r="C35" s="6"/>
      <c r="D35" s="6"/>
      <c r="E35" s="6"/>
      <c r="F35" s="6"/>
    </row>
    <row r="36" customFormat="false" ht="25.5" hidden="false" customHeight="true" outlineLevel="0" collapsed="false">
      <c r="B36" s="4" t="s">
        <v>87</v>
      </c>
      <c r="C36" s="4"/>
      <c r="D36" s="4"/>
      <c r="E36" s="4"/>
      <c r="F36" s="4"/>
    </row>
    <row r="37" customFormat="false" ht="25.5" hidden="false" customHeight="true" outlineLevel="0" collapsed="false">
      <c r="B37" s="4" t="s">
        <v>88</v>
      </c>
      <c r="C37" s="4"/>
      <c r="D37" s="4"/>
      <c r="E37" s="4"/>
      <c r="F37" s="4"/>
    </row>
    <row r="38" customFormat="false" ht="25.5" hidden="false" customHeight="true" outlineLevel="0" collapsed="false">
      <c r="B38" s="4" t="s">
        <v>89</v>
      </c>
      <c r="C38" s="4"/>
      <c r="D38" s="4"/>
      <c r="E38" s="4"/>
      <c r="F38" s="4"/>
    </row>
    <row r="39" customFormat="false" ht="12.75" hidden="false" customHeight="true" outlineLevel="0" collapsed="false">
      <c r="B39" s="4" t="s">
        <v>90</v>
      </c>
      <c r="C39" s="4"/>
      <c r="D39" s="4"/>
      <c r="E39" s="4"/>
      <c r="F39" s="4"/>
    </row>
    <row r="40" customFormat="false" ht="12.75" hidden="false" customHeight="true" outlineLevel="0" collapsed="false">
      <c r="B40" s="4" t="s">
        <v>91</v>
      </c>
      <c r="C40" s="4"/>
      <c r="D40" s="4"/>
      <c r="E40" s="4"/>
      <c r="F40" s="4"/>
    </row>
    <row r="41" customFormat="false" ht="39" hidden="false" customHeight="true" outlineLevel="0" collapsed="false">
      <c r="B41" s="4" t="s">
        <v>92</v>
      </c>
      <c r="C41" s="4"/>
      <c r="D41" s="4"/>
      <c r="E41" s="4"/>
      <c r="F41" s="4"/>
    </row>
    <row r="42" customFormat="false" ht="12.75" hidden="false" customHeight="true" outlineLevel="0" collapsed="false">
      <c r="B42" s="4" t="s">
        <v>93</v>
      </c>
      <c r="C42" s="4"/>
      <c r="D42" s="4"/>
      <c r="E42" s="4"/>
      <c r="F42" s="4"/>
    </row>
    <row r="44" customFormat="false" ht="25.5" hidden="false" customHeight="true" outlineLevel="0" collapsed="false">
      <c r="B44" s="5" t="s">
        <v>94</v>
      </c>
      <c r="C44" s="5"/>
      <c r="D44" s="5"/>
      <c r="E44" s="5"/>
      <c r="F44" s="5"/>
    </row>
  </sheetData>
  <mergeCells count="16">
    <mergeCell ref="A1:F1"/>
    <mergeCell ref="A2:F2"/>
    <mergeCell ref="A3:F3"/>
    <mergeCell ref="B5:F5"/>
    <mergeCell ref="B6:F6"/>
    <mergeCell ref="A8:F8"/>
    <mergeCell ref="A20:F20"/>
    <mergeCell ref="A35:F35"/>
    <mergeCell ref="B36:F36"/>
    <mergeCell ref="B37:F37"/>
    <mergeCell ref="B38:F38"/>
    <mergeCell ref="B39:F39"/>
    <mergeCell ref="B40:F40"/>
    <mergeCell ref="B41:F41"/>
    <mergeCell ref="B42:F42"/>
    <mergeCell ref="B44:F44"/>
  </mergeCell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95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25.5" hidden="false" customHeight="true" outlineLevel="0" collapsed="false">
      <c r="B5" s="4" t="s">
        <v>96</v>
      </c>
      <c r="C5" s="4"/>
      <c r="D5" s="4"/>
      <c r="E5" s="4"/>
      <c r="F5" s="4"/>
    </row>
    <row r="7" customFormat="false" ht="15" hidden="false" customHeight="false" outlineLevel="0" collapsed="false">
      <c r="A7" s="6" t="s">
        <v>97</v>
      </c>
      <c r="B7" s="6"/>
      <c r="C7" s="6"/>
      <c r="D7" s="6"/>
      <c r="E7" s="6"/>
      <c r="F7" s="6"/>
    </row>
    <row r="8" customFormat="false" ht="15" hidden="false" customHeight="false" outlineLevel="0" collapsed="false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</row>
    <row r="9" customFormat="false" ht="15" hidden="false" customHeight="false" outlineLevel="0" collapsed="false">
      <c r="A9" s="8" t="s">
        <v>12</v>
      </c>
      <c r="B9" s="9" t="s">
        <v>98</v>
      </c>
      <c r="C9" s="8" t="s">
        <v>99</v>
      </c>
      <c r="D9" s="13" t="n">
        <v>2</v>
      </c>
      <c r="E9" s="8" t="s">
        <v>100</v>
      </c>
      <c r="F9" s="11" t="s">
        <v>101</v>
      </c>
    </row>
    <row r="10" customFormat="false" ht="15" hidden="false" customHeight="false" outlineLevel="0" collapsed="false">
      <c r="A10" s="8" t="s">
        <v>15</v>
      </c>
      <c r="B10" s="9" t="s">
        <v>102</v>
      </c>
      <c r="C10" s="8" t="s">
        <v>103</v>
      </c>
      <c r="D10" s="13" t="n">
        <v>1</v>
      </c>
      <c r="E10" s="8" t="s">
        <v>100</v>
      </c>
      <c r="F10" s="11" t="s">
        <v>104</v>
      </c>
    </row>
    <row r="11" customFormat="false" ht="23.85" hidden="false" customHeight="false" outlineLevel="0" collapsed="false">
      <c r="A11" s="8" t="s">
        <v>18</v>
      </c>
      <c r="B11" s="9" t="s">
        <v>105</v>
      </c>
      <c r="C11" s="8" t="s">
        <v>106</v>
      </c>
      <c r="D11" s="14" t="n">
        <v>4</v>
      </c>
      <c r="E11" s="8" t="s">
        <v>107</v>
      </c>
      <c r="F11" s="11" t="s">
        <v>108</v>
      </c>
    </row>
    <row r="12" customFormat="false" ht="23.85" hidden="false" customHeight="false" outlineLevel="0" collapsed="false">
      <c r="A12" s="8" t="s">
        <v>22</v>
      </c>
      <c r="B12" s="9" t="s">
        <v>109</v>
      </c>
      <c r="C12" s="8" t="s">
        <v>110</v>
      </c>
      <c r="D12" s="14" t="n">
        <v>2</v>
      </c>
      <c r="E12" s="8" t="s">
        <v>111</v>
      </c>
      <c r="F12" s="11" t="s">
        <v>112</v>
      </c>
    </row>
    <row r="14" customFormat="false" ht="15" hidden="false" customHeight="false" outlineLevel="0" collapsed="false">
      <c r="A14" s="6" t="s">
        <v>113</v>
      </c>
      <c r="B14" s="6"/>
      <c r="C14" s="6"/>
      <c r="D14" s="6"/>
      <c r="E14" s="6"/>
      <c r="F14" s="6"/>
    </row>
    <row r="15" customFormat="false" ht="15" hidden="false" customHeight="false" outlineLevel="0" collapsed="false">
      <c r="A15" s="7" t="s">
        <v>6</v>
      </c>
      <c r="B15" s="7" t="s">
        <v>7</v>
      </c>
      <c r="C15" s="7" t="s">
        <v>8</v>
      </c>
      <c r="D15" s="7" t="s">
        <v>9</v>
      </c>
      <c r="E15" s="7" t="s">
        <v>10</v>
      </c>
      <c r="F15" s="7" t="s">
        <v>11</v>
      </c>
    </row>
    <row r="16" customFormat="false" ht="15" hidden="false" customHeight="false" outlineLevel="0" collapsed="false">
      <c r="A16" s="8" t="s">
        <v>48</v>
      </c>
      <c r="B16" s="9" t="s">
        <v>114</v>
      </c>
      <c r="C16" s="8" t="s">
        <v>115</v>
      </c>
      <c r="D16" s="15" t="n">
        <f aca="false">Datos!$D$22*$D$9</f>
        <v>6</v>
      </c>
      <c r="E16" s="8" t="s">
        <v>107</v>
      </c>
      <c r="F16" s="11" t="s">
        <v>116</v>
      </c>
    </row>
    <row r="17" customFormat="false" ht="15" hidden="false" customHeight="false" outlineLevel="0" collapsed="false">
      <c r="A17" s="8" t="s">
        <v>52</v>
      </c>
      <c r="B17" s="9" t="s">
        <v>117</v>
      </c>
      <c r="C17" s="8" t="s">
        <v>118</v>
      </c>
      <c r="D17" s="15" t="n">
        <f aca="false">Datos!$D$23*$D$10</f>
        <v>1</v>
      </c>
      <c r="E17" s="8" t="s">
        <v>107</v>
      </c>
      <c r="F17" s="11" t="s">
        <v>119</v>
      </c>
    </row>
    <row r="18" customFormat="false" ht="15" hidden="false" customHeight="false" outlineLevel="0" collapsed="false">
      <c r="A18" s="8" t="s">
        <v>55</v>
      </c>
      <c r="B18" s="9" t="s">
        <v>120</v>
      </c>
      <c r="C18" s="8" t="s">
        <v>121</v>
      </c>
      <c r="D18" s="15" t="n">
        <f aca="false">$D$11</f>
        <v>4</v>
      </c>
      <c r="E18" s="8" t="s">
        <v>107</v>
      </c>
      <c r="F18" s="11" t="s">
        <v>122</v>
      </c>
    </row>
    <row r="19" customFormat="false" ht="15" hidden="false" customHeight="false" outlineLevel="0" collapsed="false">
      <c r="A19" s="8" t="s">
        <v>58</v>
      </c>
      <c r="B19" s="9" t="s">
        <v>123</v>
      </c>
      <c r="C19" s="8" t="s">
        <v>124</v>
      </c>
      <c r="D19" s="16" t="n">
        <f aca="false">$D$16+$D$17+$D$18</f>
        <v>11</v>
      </c>
      <c r="E19" s="8" t="s">
        <v>107</v>
      </c>
      <c r="F19" s="11" t="s">
        <v>125</v>
      </c>
    </row>
    <row r="20" customFormat="false" ht="15" hidden="false" customHeight="false" outlineLevel="0" collapsed="false">
      <c r="A20" s="8" t="s">
        <v>61</v>
      </c>
      <c r="B20" s="9" t="s">
        <v>126</v>
      </c>
      <c r="C20" s="8" t="s">
        <v>127</v>
      </c>
      <c r="D20" s="15" t="n">
        <f aca="false">$D$12</f>
        <v>2</v>
      </c>
      <c r="E20" s="8" t="s">
        <v>111</v>
      </c>
      <c r="F20" s="11" t="s">
        <v>128</v>
      </c>
    </row>
    <row r="21" customFormat="false" ht="15" hidden="false" customHeight="false" outlineLevel="0" collapsed="false">
      <c r="A21" s="8" t="s">
        <v>64</v>
      </c>
      <c r="B21" s="9" t="s">
        <v>129</v>
      </c>
      <c r="C21" s="8" t="s">
        <v>130</v>
      </c>
      <c r="D21" s="16" t="n">
        <f aca="false">$D$19+$D$20</f>
        <v>13</v>
      </c>
      <c r="E21" s="8" t="s">
        <v>107</v>
      </c>
      <c r="F21" s="11"/>
    </row>
    <row r="23" customFormat="false" ht="15" hidden="false" customHeight="false" outlineLevel="0" collapsed="false">
      <c r="A23" s="6" t="s">
        <v>131</v>
      </c>
      <c r="B23" s="6"/>
      <c r="C23" s="6"/>
      <c r="D23" s="6"/>
      <c r="E23" s="6"/>
      <c r="F23" s="6"/>
    </row>
    <row r="24" customFormat="false" ht="15" hidden="false" customHeight="false" outlineLevel="0" collapsed="false">
      <c r="A24" s="7" t="s">
        <v>6</v>
      </c>
      <c r="B24" s="7" t="s">
        <v>7</v>
      </c>
      <c r="C24" s="7" t="s">
        <v>8</v>
      </c>
      <c r="D24" s="7" t="s">
        <v>9</v>
      </c>
      <c r="E24" s="7" t="s">
        <v>10</v>
      </c>
      <c r="F24" s="7" t="s">
        <v>11</v>
      </c>
    </row>
    <row r="25" customFormat="false" ht="15" hidden="false" customHeight="false" outlineLevel="0" collapsed="false">
      <c r="A25" s="8" t="s">
        <v>132</v>
      </c>
      <c r="B25" s="9" t="s">
        <v>133</v>
      </c>
      <c r="C25" s="8" t="s">
        <v>134</v>
      </c>
      <c r="D25" s="15" t="n">
        <f aca="false">MATCH($D$21,Tablas!$B$49:$B$52,1)</f>
        <v>1</v>
      </c>
      <c r="E25" s="8"/>
      <c r="F25" s="11" t="s">
        <v>135</v>
      </c>
    </row>
    <row r="26" customFormat="false" ht="15" hidden="false" customHeight="false" outlineLevel="0" collapsed="false">
      <c r="A26" s="8" t="s">
        <v>136</v>
      </c>
      <c r="B26" s="9" t="s">
        <v>137</v>
      </c>
      <c r="C26" s="8" t="s">
        <v>138</v>
      </c>
      <c r="D26" s="17" t="str">
        <f aca="false">INDEX(Tablas!$A$49:$A$52,$D$25)</f>
        <v>BAJO</v>
      </c>
      <c r="E26" s="8"/>
      <c r="F26" s="11" t="s">
        <v>139</v>
      </c>
    </row>
    <row r="27" customFormat="false" ht="22.35" hidden="false" customHeight="false" outlineLevel="0" collapsed="false">
      <c r="A27" s="8" t="s">
        <v>140</v>
      </c>
      <c r="B27" s="9" t="s">
        <v>141</v>
      </c>
      <c r="C27" s="8" t="s">
        <v>142</v>
      </c>
      <c r="D27" s="15" t="n">
        <f aca="false">INDEX(Tablas!$H$49:$H$52,$D$25)</f>
        <v>15</v>
      </c>
      <c r="E27" s="8" t="s">
        <v>143</v>
      </c>
      <c r="F27" s="11" t="s">
        <v>144</v>
      </c>
    </row>
    <row r="29" customFormat="false" ht="15" hidden="false" customHeight="false" outlineLevel="0" collapsed="false">
      <c r="A29" s="6" t="s">
        <v>145</v>
      </c>
      <c r="B29" s="6"/>
      <c r="C29" s="6"/>
      <c r="D29" s="6"/>
      <c r="E29" s="6"/>
      <c r="F29" s="6"/>
    </row>
    <row r="30" customFormat="false" ht="15" hidden="false" customHeight="false" outlineLevel="0" collapsed="false">
      <c r="A30" s="7" t="s">
        <v>6</v>
      </c>
      <c r="B30" s="7" t="s">
        <v>7</v>
      </c>
      <c r="C30" s="7" t="s">
        <v>8</v>
      </c>
      <c r="D30" s="7" t="s">
        <v>9</v>
      </c>
      <c r="E30" s="7" t="s">
        <v>10</v>
      </c>
      <c r="F30" s="7" t="s">
        <v>11</v>
      </c>
    </row>
    <row r="31" customFormat="false" ht="15" hidden="false" customHeight="false" outlineLevel="0" collapsed="false">
      <c r="A31" s="8" t="s">
        <v>146</v>
      </c>
      <c r="B31" s="9" t="s">
        <v>147</v>
      </c>
      <c r="C31" s="8" t="s">
        <v>148</v>
      </c>
      <c r="D31" s="15" t="n">
        <f aca="false">INDEX(Tablas!$C$49:$C$52,$D$25)</f>
        <v>100</v>
      </c>
      <c r="E31" s="8" t="s">
        <v>149</v>
      </c>
      <c r="F31" s="11" t="s">
        <v>150</v>
      </c>
    </row>
    <row r="32" customFormat="false" ht="15" hidden="false" customHeight="false" outlineLevel="0" collapsed="false">
      <c r="A32" s="8" t="s">
        <v>151</v>
      </c>
      <c r="B32" s="9" t="s">
        <v>152</v>
      </c>
      <c r="C32" s="8" t="s">
        <v>153</v>
      </c>
      <c r="D32" s="15" t="n">
        <f aca="false">INDEX(Tablas!$D$49:$D$52,$D$25)</f>
        <v>150</v>
      </c>
      <c r="E32" s="8" t="s">
        <v>149</v>
      </c>
      <c r="F32" s="11" t="s">
        <v>150</v>
      </c>
    </row>
    <row r="33" customFormat="false" ht="15" hidden="false" customHeight="false" outlineLevel="0" collapsed="false">
      <c r="A33" s="8" t="s">
        <v>154</v>
      </c>
      <c r="B33" s="9" t="s">
        <v>155</v>
      </c>
      <c r="C33" s="8" t="s">
        <v>156</v>
      </c>
      <c r="D33" s="14" t="n">
        <v>120</v>
      </c>
      <c r="E33" s="8" t="s">
        <v>149</v>
      </c>
      <c r="F33" s="11" t="s">
        <v>157</v>
      </c>
    </row>
    <row r="34" customFormat="false" ht="15" hidden="false" customHeight="false" outlineLevel="0" collapsed="false">
      <c r="A34" s="8" t="s">
        <v>158</v>
      </c>
      <c r="B34" s="9" t="s">
        <v>159</v>
      </c>
      <c r="C34" s="8" t="s">
        <v>160</v>
      </c>
      <c r="D34" s="18" t="str">
        <f aca="false">IF(AND($D$33&gt;=$D$31,$D$33&lt;=$D$32),"CUMPLE","NO CUMPLE")</f>
        <v>CUMPLE</v>
      </c>
      <c r="E34" s="8"/>
      <c r="F34" s="11" t="s">
        <v>150</v>
      </c>
    </row>
    <row r="35" customFormat="false" ht="22.35" hidden="false" customHeight="false" outlineLevel="0" collapsed="false">
      <c r="A35" s="8" t="s">
        <v>161</v>
      </c>
      <c r="B35" s="9" t="s">
        <v>162</v>
      </c>
      <c r="C35" s="8" t="s">
        <v>163</v>
      </c>
      <c r="D35" s="19" t="n">
        <f aca="false">IF(Datos!$D$14&gt;28,0.15,IF(Datos!$D$14&gt;=20,0.1,0))</f>
        <v>0.1</v>
      </c>
      <c r="E35" s="8" t="s">
        <v>164</v>
      </c>
      <c r="F35" s="11" t="s">
        <v>165</v>
      </c>
    </row>
    <row r="36" customFormat="false" ht="15" hidden="false" customHeight="false" outlineLevel="0" collapsed="false">
      <c r="A36" s="8" t="s">
        <v>166</v>
      </c>
      <c r="B36" s="9" t="s">
        <v>167</v>
      </c>
      <c r="C36" s="8" t="s">
        <v>168</v>
      </c>
      <c r="D36" s="20" t="n">
        <f aca="false">$D$33*(1+$D$35)</f>
        <v>132</v>
      </c>
      <c r="E36" s="8" t="s">
        <v>149</v>
      </c>
      <c r="F36" s="11"/>
    </row>
    <row r="37" customFormat="false" ht="15" hidden="false" customHeight="false" outlineLevel="0" collapsed="false">
      <c r="A37" s="8" t="s">
        <v>169</v>
      </c>
      <c r="B37" s="9" t="s">
        <v>170</v>
      </c>
      <c r="C37" s="8" t="s">
        <v>171</v>
      </c>
      <c r="D37" s="15" t="n">
        <f aca="false">IF(Datos!$D$13&gt;2000,120,IF(Datos!$D$13&gt;=1000,130,140))</f>
        <v>130</v>
      </c>
      <c r="E37" s="8" t="s">
        <v>149</v>
      </c>
      <c r="F37" s="11" t="s">
        <v>172</v>
      </c>
    </row>
    <row r="38" customFormat="false" ht="15" hidden="false" customHeight="false" outlineLevel="0" collapsed="false">
      <c r="A38" s="8" t="s">
        <v>173</v>
      </c>
      <c r="B38" s="9" t="s">
        <v>174</v>
      </c>
      <c r="C38" s="8" t="s">
        <v>175</v>
      </c>
      <c r="D38" s="21" t="n">
        <f aca="false">MIN($D$36,$D$37)</f>
        <v>130</v>
      </c>
      <c r="E38" s="8" t="s">
        <v>149</v>
      </c>
      <c r="F38" s="11" t="s">
        <v>176</v>
      </c>
    </row>
    <row r="39" customFormat="false" ht="15" hidden="false" customHeight="false" outlineLevel="0" collapsed="false">
      <c r="A39" s="8" t="s">
        <v>177</v>
      </c>
      <c r="B39" s="9" t="s">
        <v>178</v>
      </c>
      <c r="C39" s="8" t="s">
        <v>179</v>
      </c>
      <c r="D39" s="14" t="n">
        <v>50</v>
      </c>
      <c r="E39" s="8" t="s">
        <v>180</v>
      </c>
      <c r="F39" s="11" t="s">
        <v>181</v>
      </c>
    </row>
    <row r="41" customFormat="false" ht="15" hidden="false" customHeight="false" outlineLevel="0" collapsed="false">
      <c r="A41" s="6" t="s">
        <v>182</v>
      </c>
      <c r="B41" s="6"/>
      <c r="C41" s="6"/>
      <c r="D41" s="6"/>
      <c r="E41" s="6"/>
      <c r="F41" s="6"/>
    </row>
    <row r="42" customFormat="false" ht="39.75" hidden="false" customHeight="true" outlineLevel="0" collapsed="false">
      <c r="B42" s="7" t="s">
        <v>183</v>
      </c>
      <c r="C42" s="7" t="s">
        <v>184</v>
      </c>
      <c r="D42" s="7" t="s">
        <v>185</v>
      </c>
      <c r="E42" s="7" t="s">
        <v>186</v>
      </c>
    </row>
    <row r="43" customFormat="false" ht="15" hidden="false" customHeight="false" outlineLevel="0" collapsed="false">
      <c r="B43" s="9" t="s">
        <v>187</v>
      </c>
      <c r="C43" s="15" t="n">
        <f aca="false">$D$16</f>
        <v>6</v>
      </c>
      <c r="D43" s="20" t="n">
        <f aca="false">$D$38</f>
        <v>130</v>
      </c>
      <c r="E43" s="22" t="n">
        <f aca="false">C43*D43</f>
        <v>780</v>
      </c>
    </row>
    <row r="44" customFormat="false" ht="15" hidden="false" customHeight="false" outlineLevel="0" collapsed="false">
      <c r="B44" s="9" t="s">
        <v>188</v>
      </c>
      <c r="C44" s="15" t="n">
        <f aca="false">$D$17</f>
        <v>1</v>
      </c>
      <c r="D44" s="20" t="n">
        <f aca="false">$D$38</f>
        <v>130</v>
      </c>
      <c r="E44" s="22" t="n">
        <f aca="false">C44*D44</f>
        <v>130</v>
      </c>
    </row>
    <row r="45" customFormat="false" ht="15" hidden="false" customHeight="false" outlineLevel="0" collapsed="false">
      <c r="B45" s="9" t="s">
        <v>189</v>
      </c>
      <c r="C45" s="15" t="n">
        <f aca="false">$D$18</f>
        <v>4</v>
      </c>
      <c r="D45" s="20" t="n">
        <f aca="false">$D$38</f>
        <v>130</v>
      </c>
      <c r="E45" s="22" t="n">
        <f aca="false">C45*D45</f>
        <v>520</v>
      </c>
    </row>
    <row r="46" customFormat="false" ht="15" hidden="false" customHeight="false" outlineLevel="0" collapsed="false">
      <c r="B46" s="9" t="s">
        <v>190</v>
      </c>
      <c r="C46" s="15" t="n">
        <f aca="false">$D$20</f>
        <v>2</v>
      </c>
      <c r="D46" s="20" t="n">
        <f aca="false">$D$39</f>
        <v>50</v>
      </c>
      <c r="E46" s="22" t="n">
        <f aca="false">C46*D46</f>
        <v>100</v>
      </c>
    </row>
    <row r="47" customFormat="false" ht="15" hidden="false" customHeight="false" outlineLevel="0" collapsed="false">
      <c r="B47" s="23" t="s">
        <v>191</v>
      </c>
      <c r="C47" s="24" t="n">
        <f aca="false">SUM(C43:C46)</f>
        <v>13</v>
      </c>
      <c r="E47" s="25" t="n">
        <f aca="false">SUM(E43:E46)</f>
        <v>1530</v>
      </c>
    </row>
    <row r="49" customFormat="false" ht="15" hidden="false" customHeight="false" outlineLevel="0" collapsed="false">
      <c r="A49" s="8" t="s">
        <v>192</v>
      </c>
      <c r="B49" s="9" t="s">
        <v>193</v>
      </c>
      <c r="C49" s="8" t="s">
        <v>194</v>
      </c>
      <c r="D49" s="21" t="n">
        <f aca="false">$E$47/$D$38</f>
        <v>11.7692307692308</v>
      </c>
      <c r="E49" s="8" t="s">
        <v>195</v>
      </c>
      <c r="F49" s="11" t="s">
        <v>196</v>
      </c>
    </row>
  </sheetData>
  <mergeCells count="9">
    <mergeCell ref="A1:F1"/>
    <mergeCell ref="A2:F2"/>
    <mergeCell ref="A3:F3"/>
    <mergeCell ref="B5:F5"/>
    <mergeCell ref="A7:F7"/>
    <mergeCell ref="A14:F14"/>
    <mergeCell ref="A23:F23"/>
    <mergeCell ref="A29:F29"/>
    <mergeCell ref="A41:F41"/>
  </mergeCells>
  <conditionalFormatting sqref="D34">
    <cfRule type="cellIs" priority="2" operator="equal" aboveAverage="0" equalAverage="0" bottom="0" percent="0" rank="0" text="" dxfId="0">
      <formula>"CUMPLE"</formula>
    </cfRule>
    <cfRule type="cellIs" priority="3" operator="equal" aboveAverage="0" equalAverage="0" bottom="0" percent="0" rank="0" text="" dxfId="1">
      <formula>"NO CUMPLE"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197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6" customFormat="false" ht="15" hidden="false" customHeight="false" outlineLevel="0" collapsed="false">
      <c r="A6" s="6" t="s">
        <v>198</v>
      </c>
      <c r="B6" s="6"/>
      <c r="C6" s="6"/>
      <c r="D6" s="6"/>
      <c r="E6" s="6"/>
      <c r="F6" s="6"/>
    </row>
    <row r="7" customFormat="false" ht="15" hidden="false" customHeight="false" outlineLevel="0" collapsed="false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customFormat="false" ht="15" hidden="false" customHeight="false" outlineLevel="0" collapsed="false">
      <c r="A8" s="8" t="s">
        <v>12</v>
      </c>
      <c r="B8" s="9" t="s">
        <v>199</v>
      </c>
      <c r="C8" s="8" t="s">
        <v>200</v>
      </c>
      <c r="D8" s="19" t="n">
        <f aca="false">INDEX(Tablas!$E$49:$E$52,Poblacion!$D$25)</f>
        <v>0.4</v>
      </c>
      <c r="E8" s="8" t="s">
        <v>164</v>
      </c>
      <c r="F8" s="11" t="s">
        <v>201</v>
      </c>
    </row>
    <row r="9" customFormat="false" ht="15" hidden="false" customHeight="false" outlineLevel="0" collapsed="false">
      <c r="A9" s="8" t="s">
        <v>15</v>
      </c>
      <c r="B9" s="9" t="s">
        <v>202</v>
      </c>
      <c r="C9" s="8" t="s">
        <v>203</v>
      </c>
      <c r="D9" s="26" t="n">
        <v>0.25</v>
      </c>
      <c r="E9" s="8" t="s">
        <v>164</v>
      </c>
      <c r="F9" s="11" t="s">
        <v>204</v>
      </c>
    </row>
    <row r="10" customFormat="false" ht="15" hidden="false" customHeight="false" outlineLevel="0" collapsed="false">
      <c r="A10" s="8" t="s">
        <v>18</v>
      </c>
      <c r="B10" s="9" t="s">
        <v>205</v>
      </c>
      <c r="C10" s="8" t="s">
        <v>160</v>
      </c>
      <c r="D10" s="18" t="str">
        <f aca="false">IF($D$9&lt;=0.25,"CUMPLE","NO CUMPLE")</f>
        <v>CUMPLE</v>
      </c>
      <c r="E10" s="8"/>
      <c r="F10" s="11" t="s">
        <v>206</v>
      </c>
    </row>
    <row r="12" customFormat="false" ht="15" hidden="false" customHeight="false" outlineLevel="0" collapsed="false">
      <c r="A12" s="6" t="s">
        <v>207</v>
      </c>
      <c r="B12" s="6"/>
      <c r="C12" s="6"/>
      <c r="D12" s="6"/>
      <c r="E12" s="6"/>
      <c r="F12" s="6"/>
    </row>
    <row r="13" customFormat="false" ht="15" hidden="false" customHeight="false" outlineLevel="0" collapsed="false">
      <c r="A13" s="7" t="s">
        <v>6</v>
      </c>
      <c r="B13" s="7" t="s">
        <v>7</v>
      </c>
      <c r="C13" s="7" t="s">
        <v>8</v>
      </c>
      <c r="D13" s="7" t="s">
        <v>9</v>
      </c>
      <c r="E13" s="7" t="s">
        <v>10</v>
      </c>
      <c r="F13" s="7" t="s">
        <v>11</v>
      </c>
    </row>
    <row r="14" customFormat="false" ht="15" hidden="false" customHeight="false" outlineLevel="0" collapsed="false">
      <c r="A14" s="8" t="s">
        <v>48</v>
      </c>
      <c r="B14" s="9" t="s">
        <v>208</v>
      </c>
      <c r="C14" s="8" t="s">
        <v>209</v>
      </c>
      <c r="D14" s="21" t="n">
        <f aca="false">Poblacion!$D$38/(1-$D$9)</f>
        <v>173.333333333333</v>
      </c>
      <c r="E14" s="8" t="s">
        <v>149</v>
      </c>
      <c r="F14" s="11" t="s">
        <v>210</v>
      </c>
    </row>
    <row r="15" customFormat="false" ht="15" hidden="false" customHeight="false" outlineLevel="0" collapsed="false">
      <c r="A15" s="8" t="s">
        <v>52</v>
      </c>
      <c r="B15" s="9" t="s">
        <v>211</v>
      </c>
      <c r="C15" s="8" t="s">
        <v>212</v>
      </c>
      <c r="D15" s="20" t="n">
        <f aca="false">Poblacion!$D$39/(1-$D$9)</f>
        <v>66.6666666666667</v>
      </c>
      <c r="E15" s="8" t="s">
        <v>180</v>
      </c>
      <c r="F15" s="11"/>
    </row>
    <row r="16" customFormat="false" ht="15" hidden="false" customHeight="false" outlineLevel="0" collapsed="false">
      <c r="A16" s="8" t="s">
        <v>55</v>
      </c>
      <c r="B16" s="9" t="s">
        <v>213</v>
      </c>
      <c r="C16" s="8" t="s">
        <v>214</v>
      </c>
      <c r="D16" s="22" t="n">
        <f aca="false">Poblacion!$E$47/(1-$D$9)</f>
        <v>2040</v>
      </c>
      <c r="E16" s="8" t="s">
        <v>215</v>
      </c>
      <c r="F16" s="11" t="s">
        <v>216</v>
      </c>
    </row>
    <row r="18" customFormat="false" ht="15" hidden="false" customHeight="false" outlineLevel="0" collapsed="false">
      <c r="A18" s="6" t="s">
        <v>217</v>
      </c>
      <c r="B18" s="6"/>
      <c r="C18" s="6"/>
      <c r="D18" s="6"/>
      <c r="E18" s="6"/>
      <c r="F18" s="6"/>
    </row>
    <row r="19" customFormat="false" ht="15" hidden="false" customHeight="false" outlineLevel="0" collapsed="false">
      <c r="A19" s="7" t="s">
        <v>6</v>
      </c>
      <c r="B19" s="7" t="s">
        <v>7</v>
      </c>
      <c r="C19" s="7" t="s">
        <v>8</v>
      </c>
      <c r="D19" s="7" t="s">
        <v>9</v>
      </c>
      <c r="E19" s="7" t="s">
        <v>10</v>
      </c>
      <c r="F19" s="7" t="s">
        <v>11</v>
      </c>
    </row>
    <row r="20" customFormat="false" ht="15" hidden="false" customHeight="false" outlineLevel="0" collapsed="false">
      <c r="A20" s="8" t="s">
        <v>132</v>
      </c>
      <c r="B20" s="9" t="s">
        <v>218</v>
      </c>
      <c r="C20" s="8" t="s">
        <v>219</v>
      </c>
      <c r="D20" s="14" t="n">
        <v>1</v>
      </c>
      <c r="E20" s="8"/>
      <c r="F20" s="11" t="s">
        <v>220</v>
      </c>
    </row>
    <row r="21" customFormat="false" ht="15" hidden="false" customHeight="false" outlineLevel="0" collapsed="false">
      <c r="A21" s="8" t="s">
        <v>136</v>
      </c>
      <c r="B21" s="9" t="s">
        <v>221</v>
      </c>
      <c r="C21" s="8" t="s">
        <v>222</v>
      </c>
      <c r="D21" s="13" t="n">
        <v>2</v>
      </c>
      <c r="E21" s="8" t="s">
        <v>223</v>
      </c>
      <c r="F21" s="11" t="s">
        <v>224</v>
      </c>
    </row>
    <row r="22" customFormat="false" ht="15" hidden="false" customHeight="false" outlineLevel="0" collapsed="false">
      <c r="A22" s="8" t="s">
        <v>140</v>
      </c>
      <c r="B22" s="9" t="s">
        <v>225</v>
      </c>
      <c r="C22" s="8" t="s">
        <v>226</v>
      </c>
      <c r="D22" s="22" t="n">
        <f aca="false">Datos!$D$33*$D$21*$D$20</f>
        <v>600</v>
      </c>
      <c r="E22" s="8" t="s">
        <v>215</v>
      </c>
      <c r="F22" s="11"/>
    </row>
    <row r="24" customFormat="false" ht="15" hidden="false" customHeight="false" outlineLevel="0" collapsed="false">
      <c r="A24" s="6" t="s">
        <v>227</v>
      </c>
      <c r="B24" s="6"/>
      <c r="C24" s="6"/>
      <c r="D24" s="6"/>
      <c r="E24" s="6"/>
      <c r="F24" s="6"/>
    </row>
    <row r="25" customFormat="false" ht="15" hidden="false" customHeight="false" outlineLevel="0" collapsed="false">
      <c r="A25" s="7" t="s">
        <v>6</v>
      </c>
      <c r="B25" s="7" t="s">
        <v>7</v>
      </c>
      <c r="C25" s="7" t="s">
        <v>8</v>
      </c>
      <c r="D25" s="7" t="s">
        <v>9</v>
      </c>
      <c r="E25" s="7" t="s">
        <v>10</v>
      </c>
      <c r="F25" s="7" t="s">
        <v>11</v>
      </c>
    </row>
    <row r="26" customFormat="false" ht="15" hidden="false" customHeight="false" outlineLevel="0" collapsed="false">
      <c r="A26" s="8" t="s">
        <v>146</v>
      </c>
      <c r="B26" s="9" t="s">
        <v>228</v>
      </c>
      <c r="C26" s="8" t="s">
        <v>229</v>
      </c>
      <c r="D26" s="27" t="n">
        <f aca="false">($D$16+$D$22)/86400</f>
        <v>0.0305555555555556</v>
      </c>
      <c r="E26" s="8" t="s">
        <v>230</v>
      </c>
      <c r="F26" s="11" t="s">
        <v>231</v>
      </c>
    </row>
    <row r="27" customFormat="false" ht="15" hidden="false" customHeight="false" outlineLevel="0" collapsed="false">
      <c r="A27" s="8" t="s">
        <v>151</v>
      </c>
      <c r="B27" s="9" t="s">
        <v>232</v>
      </c>
      <c r="C27" s="8" t="s">
        <v>229</v>
      </c>
      <c r="D27" s="28" t="n">
        <f aca="false">$D$26*86.4</f>
        <v>2.64</v>
      </c>
      <c r="E27" s="8" t="s">
        <v>233</v>
      </c>
      <c r="F27" s="11"/>
    </row>
    <row r="28" customFormat="false" ht="15" hidden="false" customHeight="false" outlineLevel="0" collapsed="false">
      <c r="A28" s="8" t="s">
        <v>154</v>
      </c>
      <c r="B28" s="9" t="s">
        <v>234</v>
      </c>
      <c r="C28" s="8" t="s">
        <v>235</v>
      </c>
      <c r="D28" s="28" t="n">
        <f aca="false">INDEX(Tablas!$F$49:$F$52,Poblacion!$D$25)</f>
        <v>1.3</v>
      </c>
      <c r="E28" s="8"/>
      <c r="F28" s="11" t="s">
        <v>236</v>
      </c>
    </row>
    <row r="29" customFormat="false" ht="15" hidden="false" customHeight="false" outlineLevel="0" collapsed="false">
      <c r="A29" s="8" t="s">
        <v>158</v>
      </c>
      <c r="B29" s="9" t="s">
        <v>237</v>
      </c>
      <c r="C29" s="8" t="s">
        <v>238</v>
      </c>
      <c r="D29" s="27" t="n">
        <f aca="false">$D$28*$D$26</f>
        <v>0.0397222222222222</v>
      </c>
      <c r="E29" s="8" t="s">
        <v>230</v>
      </c>
      <c r="F29" s="11" t="s">
        <v>239</v>
      </c>
    </row>
    <row r="30" customFormat="false" ht="15" hidden="false" customHeight="false" outlineLevel="0" collapsed="false">
      <c r="A30" s="8" t="s">
        <v>161</v>
      </c>
      <c r="B30" s="9" t="s">
        <v>240</v>
      </c>
      <c r="C30" s="8" t="s">
        <v>241</v>
      </c>
      <c r="D30" s="28" t="n">
        <f aca="false">INDEX(Tablas!$G$49:$G$52,Poblacion!$D$25)</f>
        <v>1.6</v>
      </c>
      <c r="E30" s="8"/>
      <c r="F30" s="11" t="s">
        <v>242</v>
      </c>
    </row>
    <row r="31" customFormat="false" ht="15" hidden="false" customHeight="false" outlineLevel="0" collapsed="false">
      <c r="A31" s="8" t="s">
        <v>166</v>
      </c>
      <c r="B31" s="9" t="s">
        <v>243</v>
      </c>
      <c r="C31" s="8" t="s">
        <v>244</v>
      </c>
      <c r="D31" s="27" t="n">
        <f aca="false">$D$30*$D$29</f>
        <v>0.0635555555555556</v>
      </c>
      <c r="E31" s="8" t="s">
        <v>230</v>
      </c>
      <c r="F31" s="11" t="s">
        <v>245</v>
      </c>
    </row>
    <row r="32" customFormat="false" ht="25.5" hidden="false" customHeight="true" outlineLevel="0" collapsed="false">
      <c r="B32" s="4" t="s">
        <v>246</v>
      </c>
      <c r="C32" s="4"/>
      <c r="D32" s="4"/>
      <c r="E32" s="4"/>
      <c r="F32" s="4"/>
    </row>
  </sheetData>
  <mergeCells count="8">
    <mergeCell ref="A1:F1"/>
    <mergeCell ref="A2:F2"/>
    <mergeCell ref="A3:F3"/>
    <mergeCell ref="A6:F6"/>
    <mergeCell ref="A12:F12"/>
    <mergeCell ref="A18:F18"/>
    <mergeCell ref="A24:F24"/>
    <mergeCell ref="B32:F32"/>
  </mergeCells>
  <conditionalFormatting sqref="D10">
    <cfRule type="cellIs" priority="2" operator="equal" aboveAverage="0" equalAverage="0" bottom="0" percent="0" rank="0" text="" dxfId="0">
      <formula>"CUMPLE"</formula>
    </cfRule>
    <cfRule type="cellIs" priority="3" operator="equal" aboveAverage="0" equalAverage="0" bottom="0" percent="0" rank="0" text="" dxfId="1">
      <formula>"NO CUMPLE"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247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25.5" hidden="false" customHeight="true" outlineLevel="0" collapsed="false">
      <c r="B5" s="4" t="s">
        <v>248</v>
      </c>
      <c r="C5" s="4"/>
      <c r="D5" s="4"/>
      <c r="E5" s="4"/>
      <c r="F5" s="4"/>
    </row>
    <row r="7" customFormat="false" ht="15" hidden="false" customHeight="false" outlineLevel="0" collapsed="false">
      <c r="A7" s="6" t="s">
        <v>249</v>
      </c>
      <c r="B7" s="6"/>
      <c r="C7" s="6"/>
      <c r="D7" s="6"/>
      <c r="E7" s="6"/>
      <c r="F7" s="6"/>
    </row>
    <row r="8" customFormat="false" ht="15" hidden="false" customHeight="false" outlineLevel="0" collapsed="false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</row>
    <row r="9" customFormat="false" ht="15" hidden="false" customHeight="false" outlineLevel="0" collapsed="false">
      <c r="A9" s="8" t="s">
        <v>12</v>
      </c>
      <c r="B9" s="9" t="s">
        <v>250</v>
      </c>
      <c r="C9" s="8" t="s">
        <v>251</v>
      </c>
      <c r="D9" s="22" t="n">
        <f aca="false">Poblacion!$E$47+Dotacion_Caudales!$D$22</f>
        <v>2130</v>
      </c>
      <c r="E9" s="8" t="s">
        <v>215</v>
      </c>
      <c r="F9" s="11" t="s">
        <v>252</v>
      </c>
    </row>
    <row r="10" customFormat="false" ht="22.35" hidden="false" customHeight="false" outlineLevel="0" collapsed="false">
      <c r="A10" s="8" t="s">
        <v>15</v>
      </c>
      <c r="B10" s="9" t="s">
        <v>253</v>
      </c>
      <c r="C10" s="8" t="s">
        <v>254</v>
      </c>
      <c r="D10" s="13" t="n">
        <v>1</v>
      </c>
      <c r="E10" s="8" t="s">
        <v>255</v>
      </c>
      <c r="F10" s="11" t="s">
        <v>256</v>
      </c>
    </row>
    <row r="11" customFormat="false" ht="15" hidden="false" customHeight="false" outlineLevel="0" collapsed="false">
      <c r="A11" s="8" t="s">
        <v>18</v>
      </c>
      <c r="B11" s="9" t="s">
        <v>257</v>
      </c>
      <c r="C11" s="8" t="s">
        <v>258</v>
      </c>
      <c r="D11" s="12" t="n">
        <v>0</v>
      </c>
      <c r="E11" s="8" t="s">
        <v>259</v>
      </c>
      <c r="F11" s="11" t="s">
        <v>260</v>
      </c>
    </row>
    <row r="12" customFormat="false" ht="15" hidden="false" customHeight="false" outlineLevel="0" collapsed="false">
      <c r="A12" s="8" t="s">
        <v>22</v>
      </c>
      <c r="B12" s="9" t="s">
        <v>261</v>
      </c>
      <c r="C12" s="8" t="s">
        <v>262</v>
      </c>
      <c r="D12" s="29" t="n">
        <f aca="false">$D$9*$D$10+$D$11</f>
        <v>2130</v>
      </c>
      <c r="E12" s="8" t="s">
        <v>259</v>
      </c>
      <c r="F12" s="11"/>
    </row>
    <row r="14" customFormat="false" ht="15" hidden="false" customHeight="false" outlineLevel="0" collapsed="false">
      <c r="A14" s="6" t="s">
        <v>263</v>
      </c>
      <c r="B14" s="6"/>
      <c r="C14" s="6"/>
      <c r="D14" s="6"/>
      <c r="E14" s="6"/>
      <c r="F14" s="6"/>
    </row>
    <row r="15" customFormat="false" ht="15" hidden="false" customHeight="false" outlineLevel="0" collapsed="false">
      <c r="A15" s="7" t="s">
        <v>6</v>
      </c>
      <c r="B15" s="7" t="s">
        <v>7</v>
      </c>
      <c r="C15" s="7" t="s">
        <v>8</v>
      </c>
      <c r="D15" s="7" t="s">
        <v>9</v>
      </c>
      <c r="E15" s="7" t="s">
        <v>10</v>
      </c>
      <c r="F15" s="7" t="s">
        <v>11</v>
      </c>
    </row>
    <row r="16" customFormat="false" ht="15" hidden="false" customHeight="false" outlineLevel="0" collapsed="false">
      <c r="A16" s="8" t="s">
        <v>48</v>
      </c>
      <c r="B16" s="9" t="s">
        <v>264</v>
      </c>
      <c r="C16" s="8" t="s">
        <v>265</v>
      </c>
      <c r="D16" s="12" t="n">
        <v>2000</v>
      </c>
      <c r="E16" s="8" t="s">
        <v>259</v>
      </c>
      <c r="F16" s="11" t="s">
        <v>266</v>
      </c>
    </row>
    <row r="17" customFormat="false" ht="15" hidden="false" customHeight="false" outlineLevel="0" collapsed="false">
      <c r="A17" s="8" t="s">
        <v>52</v>
      </c>
      <c r="B17" s="9" t="s">
        <v>267</v>
      </c>
      <c r="C17" s="8" t="s">
        <v>142</v>
      </c>
      <c r="D17" s="15" t="n">
        <f aca="false">ROUNDUP($D$12/$D$16,0)</f>
        <v>2</v>
      </c>
      <c r="E17" s="8" t="s">
        <v>51</v>
      </c>
      <c r="F17" s="11"/>
    </row>
    <row r="18" customFormat="false" ht="15" hidden="false" customHeight="false" outlineLevel="0" collapsed="false">
      <c r="A18" s="8" t="s">
        <v>55</v>
      </c>
      <c r="B18" s="9" t="s">
        <v>268</v>
      </c>
      <c r="C18" s="8" t="s">
        <v>269</v>
      </c>
      <c r="D18" s="29" t="n">
        <f aca="false">$D$17*$D$16</f>
        <v>4000</v>
      </c>
      <c r="E18" s="8" t="s">
        <v>259</v>
      </c>
      <c r="F18" s="11"/>
    </row>
    <row r="19" customFormat="false" ht="15" hidden="false" customHeight="false" outlineLevel="0" collapsed="false">
      <c r="A19" s="8" t="s">
        <v>58</v>
      </c>
      <c r="B19" s="9" t="s">
        <v>270</v>
      </c>
      <c r="C19" s="8" t="s">
        <v>160</v>
      </c>
      <c r="D19" s="18" t="str">
        <f aca="false">IF($D$18&gt;=$D$12,"CUMPLE","NO CUMPLE")</f>
        <v>CUMPLE</v>
      </c>
      <c r="E19" s="8"/>
      <c r="F19" s="11"/>
    </row>
    <row r="20" customFormat="false" ht="15" hidden="false" customHeight="false" outlineLevel="0" collapsed="false">
      <c r="A20" s="8" t="s">
        <v>61</v>
      </c>
      <c r="B20" s="9" t="s">
        <v>271</v>
      </c>
      <c r="C20" s="8" t="s">
        <v>272</v>
      </c>
      <c r="D20" s="20" t="n">
        <f aca="false">$D$18/$D$9*24</f>
        <v>45.0704225352113</v>
      </c>
      <c r="E20" s="8" t="s">
        <v>273</v>
      </c>
      <c r="F20" s="11"/>
    </row>
    <row r="21" customFormat="false" ht="15" hidden="false" customHeight="false" outlineLevel="0" collapsed="false">
      <c r="A21" s="8" t="s">
        <v>64</v>
      </c>
      <c r="B21" s="9" t="s">
        <v>274</v>
      </c>
      <c r="C21" s="8" t="s">
        <v>275</v>
      </c>
      <c r="D21" s="20" t="n">
        <f aca="false">$D$18/(Acometida_Medidor!$D$18*3600)</f>
        <v>6</v>
      </c>
      <c r="E21" s="8" t="s">
        <v>273</v>
      </c>
      <c r="F21" s="11" t="s">
        <v>276</v>
      </c>
    </row>
    <row r="23" customFormat="false" ht="15" hidden="false" customHeight="false" outlineLevel="0" collapsed="false">
      <c r="A23" s="6" t="s">
        <v>277</v>
      </c>
      <c r="B23" s="6"/>
      <c r="C23" s="6"/>
      <c r="D23" s="6"/>
      <c r="E23" s="6"/>
      <c r="F23" s="6"/>
    </row>
    <row r="24" customFormat="false" ht="15" hidden="false" customHeight="false" outlineLevel="0" collapsed="false">
      <c r="A24" s="7" t="s">
        <v>6</v>
      </c>
      <c r="B24" s="7" t="s">
        <v>7</v>
      </c>
      <c r="C24" s="7" t="s">
        <v>8</v>
      </c>
      <c r="D24" s="7" t="s">
        <v>9</v>
      </c>
      <c r="E24" s="7" t="s">
        <v>10</v>
      </c>
      <c r="F24" s="7" t="s">
        <v>11</v>
      </c>
    </row>
    <row r="25" customFormat="false" ht="15" hidden="false" customHeight="false" outlineLevel="0" collapsed="false">
      <c r="A25" s="8" t="s">
        <v>132</v>
      </c>
      <c r="B25" s="9" t="s">
        <v>278</v>
      </c>
      <c r="C25" s="8" t="s">
        <v>279</v>
      </c>
      <c r="D25" s="30" t="n">
        <v>1.2</v>
      </c>
      <c r="E25" s="8" t="s">
        <v>280</v>
      </c>
      <c r="F25" s="11" t="s">
        <v>281</v>
      </c>
    </row>
    <row r="26" customFormat="false" ht="15" hidden="false" customHeight="false" outlineLevel="0" collapsed="false">
      <c r="A26" s="8" t="s">
        <v>136</v>
      </c>
      <c r="B26" s="9" t="s">
        <v>282</v>
      </c>
      <c r="C26" s="8" t="s">
        <v>283</v>
      </c>
      <c r="D26" s="28" t="n">
        <f aca="false">$D$12/1000/$D$25</f>
        <v>1.775</v>
      </c>
      <c r="E26" s="8" t="s">
        <v>79</v>
      </c>
      <c r="F26" s="11"/>
    </row>
    <row r="27" customFormat="false" ht="15" hidden="false" customHeight="false" outlineLevel="0" collapsed="false">
      <c r="A27" s="8" t="s">
        <v>140</v>
      </c>
      <c r="B27" s="9" t="s">
        <v>284</v>
      </c>
      <c r="C27" s="8" t="s">
        <v>285</v>
      </c>
      <c r="D27" s="28" t="n">
        <f aca="false">SQRT($D$26/1.5)</f>
        <v>1.08781125813871</v>
      </c>
      <c r="E27" s="8" t="s">
        <v>280</v>
      </c>
      <c r="F27" s="11"/>
    </row>
    <row r="28" customFormat="false" ht="15" hidden="false" customHeight="false" outlineLevel="0" collapsed="false">
      <c r="A28" s="8" t="s">
        <v>286</v>
      </c>
      <c r="B28" s="9" t="s">
        <v>287</v>
      </c>
      <c r="C28" s="8" t="s">
        <v>259</v>
      </c>
      <c r="D28" s="28" t="n">
        <f aca="false">1.5*$D$27</f>
        <v>1.63171688720807</v>
      </c>
      <c r="E28" s="8" t="s">
        <v>280</v>
      </c>
      <c r="F28" s="11"/>
    </row>
  </sheetData>
  <mergeCells count="7">
    <mergeCell ref="A1:F1"/>
    <mergeCell ref="A2:F2"/>
    <mergeCell ref="A3:F3"/>
    <mergeCell ref="B5:F5"/>
    <mergeCell ref="A7:F7"/>
    <mergeCell ref="A14:F14"/>
    <mergeCell ref="A23:F23"/>
  </mergeCells>
  <conditionalFormatting sqref="D19">
    <cfRule type="cellIs" priority="2" operator="equal" aboveAverage="0" equalAverage="0" bottom="0" percent="0" rank="0" text="" dxfId="0">
      <formula>"CUMPLE"</formula>
    </cfRule>
    <cfRule type="cellIs" priority="3" operator="equal" aboveAverage="0" equalAverage="0" bottom="0" percent="0" rank="0" text="" dxfId="1">
      <formula>"NO CUMPLE"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288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2.75" hidden="false" customHeight="true" outlineLevel="0" collapsed="false">
      <c r="B5" s="4" t="s">
        <v>289</v>
      </c>
      <c r="C5" s="4"/>
      <c r="D5" s="4"/>
      <c r="E5" s="4"/>
      <c r="F5" s="4"/>
      <c r="G5" s="4"/>
    </row>
    <row r="6" customFormat="false" ht="12.75" hidden="false" customHeight="true" outlineLevel="0" collapsed="false">
      <c r="B6" s="5" t="s">
        <v>4</v>
      </c>
      <c r="C6" s="5"/>
      <c r="D6" s="5"/>
      <c r="E6" s="5"/>
      <c r="F6" s="5"/>
      <c r="G6" s="5"/>
    </row>
    <row r="8" customFormat="false" ht="15" hidden="false" customHeight="false" outlineLevel="0" collapsed="false">
      <c r="A8" s="6" t="s">
        <v>290</v>
      </c>
      <c r="B8" s="6"/>
      <c r="C8" s="6"/>
      <c r="D8" s="6"/>
      <c r="E8" s="6"/>
      <c r="F8" s="6"/>
      <c r="G8" s="6"/>
    </row>
    <row r="9" customFormat="false" ht="39.75" hidden="false" customHeight="true" outlineLevel="0" collapsed="false">
      <c r="A9" s="7" t="s">
        <v>291</v>
      </c>
      <c r="B9" s="7" t="s">
        <v>292</v>
      </c>
      <c r="C9" s="7" t="s">
        <v>293</v>
      </c>
      <c r="D9" s="7" t="s">
        <v>294</v>
      </c>
      <c r="E9" s="7" t="s">
        <v>295</v>
      </c>
      <c r="F9" s="7" t="s">
        <v>296</v>
      </c>
    </row>
    <row r="10" customFormat="false" ht="15" hidden="false" customHeight="false" outlineLevel="0" collapsed="false">
      <c r="A10" s="9" t="s">
        <v>297</v>
      </c>
      <c r="B10" s="15" t="n">
        <f aca="false">Datos!$D$24+Datos!$D$25</f>
        <v>3</v>
      </c>
      <c r="C10" s="14" t="n">
        <v>3</v>
      </c>
      <c r="D10" s="15" t="n">
        <f aca="false">B10*C10</f>
        <v>9</v>
      </c>
      <c r="E10" s="8" t="s">
        <v>298</v>
      </c>
      <c r="F10" s="13" t="n">
        <v>2</v>
      </c>
    </row>
    <row r="11" customFormat="false" ht="15" hidden="false" customHeight="false" outlineLevel="0" collapsed="false">
      <c r="A11" s="9" t="s">
        <v>299</v>
      </c>
      <c r="B11" s="15" t="n">
        <f aca="false">Datos!$D$24+Datos!$D$25</f>
        <v>3</v>
      </c>
      <c r="C11" s="14" t="n">
        <v>1</v>
      </c>
      <c r="D11" s="15" t="n">
        <f aca="false">B11*C11</f>
        <v>3</v>
      </c>
      <c r="E11" s="8" t="s">
        <v>298</v>
      </c>
      <c r="F11" s="13" t="n">
        <v>2</v>
      </c>
    </row>
    <row r="12" customFormat="false" ht="15" hidden="false" customHeight="false" outlineLevel="0" collapsed="false">
      <c r="A12" s="9" t="s">
        <v>300</v>
      </c>
      <c r="B12" s="31" t="n">
        <f aca="false">Datos!$D$24</f>
        <v>2</v>
      </c>
      <c r="C12" s="14" t="n">
        <v>2</v>
      </c>
      <c r="D12" s="15" t="n">
        <f aca="false">B12*C12</f>
        <v>4</v>
      </c>
      <c r="E12" s="8" t="s">
        <v>298</v>
      </c>
      <c r="F12" s="13" t="n">
        <v>3</v>
      </c>
    </row>
    <row r="13" customFormat="false" ht="15" hidden="false" customHeight="false" outlineLevel="0" collapsed="false">
      <c r="A13" s="9" t="s">
        <v>301</v>
      </c>
      <c r="B13" s="31" t="n">
        <f aca="false">Datos!$D$26</f>
        <v>1</v>
      </c>
      <c r="C13" s="14" t="n">
        <v>2</v>
      </c>
      <c r="D13" s="15" t="n">
        <f aca="false">B13*C13</f>
        <v>2</v>
      </c>
      <c r="E13" s="8" t="s">
        <v>298</v>
      </c>
      <c r="F13" s="13" t="n">
        <v>2</v>
      </c>
    </row>
    <row r="14" customFormat="false" ht="15" hidden="false" customHeight="false" outlineLevel="0" collapsed="false">
      <c r="A14" s="9" t="s">
        <v>302</v>
      </c>
      <c r="B14" s="31" t="n">
        <f aca="false">Datos!$D$28</f>
        <v>1</v>
      </c>
      <c r="C14" s="14" t="n">
        <v>2</v>
      </c>
      <c r="D14" s="15" t="n">
        <f aca="false">B14*C14</f>
        <v>2</v>
      </c>
      <c r="E14" s="8" t="s">
        <v>298</v>
      </c>
      <c r="F14" s="13" t="n">
        <v>2</v>
      </c>
    </row>
    <row r="15" customFormat="false" ht="15" hidden="false" customHeight="false" outlineLevel="0" collapsed="false">
      <c r="A15" s="9" t="s">
        <v>303</v>
      </c>
      <c r="B15" s="31" t="n">
        <f aca="false">Datos!$D$27</f>
        <v>1</v>
      </c>
      <c r="C15" s="14" t="n">
        <v>3</v>
      </c>
      <c r="D15" s="15" t="n">
        <f aca="false">B15*C15</f>
        <v>3</v>
      </c>
      <c r="E15" s="8" t="s">
        <v>298</v>
      </c>
      <c r="F15" s="13" t="n">
        <v>2</v>
      </c>
    </row>
    <row r="16" customFormat="false" ht="15" hidden="false" customHeight="false" outlineLevel="0" collapsed="false">
      <c r="A16" s="9" t="s">
        <v>304</v>
      </c>
      <c r="B16" s="31" t="n">
        <f aca="false">Datos!$D$27</f>
        <v>1</v>
      </c>
      <c r="C16" s="14" t="n">
        <v>2</v>
      </c>
      <c r="D16" s="15" t="n">
        <f aca="false">B16*C16</f>
        <v>2</v>
      </c>
      <c r="E16" s="8" t="s">
        <v>298</v>
      </c>
      <c r="F16" s="13" t="n">
        <v>5</v>
      </c>
    </row>
    <row r="17" customFormat="false" ht="15" hidden="false" customHeight="false" outlineLevel="0" collapsed="false">
      <c r="A17" s="9" t="s">
        <v>305</v>
      </c>
      <c r="B17" s="31" t="n">
        <f aca="false">Datos!$D$29</f>
        <v>2</v>
      </c>
      <c r="C17" s="14" t="n">
        <v>2</v>
      </c>
      <c r="D17" s="15" t="n">
        <f aca="false">B17*C17</f>
        <v>4</v>
      </c>
      <c r="E17" s="8" t="s">
        <v>298</v>
      </c>
      <c r="F17" s="13" t="n">
        <v>2</v>
      </c>
    </row>
    <row r="18" customFormat="false" ht="15" hidden="false" customHeight="false" outlineLevel="0" collapsed="false">
      <c r="A18" s="23" t="s">
        <v>191</v>
      </c>
      <c r="B18" s="32" t="n">
        <f aca="false">SUM(B10:B17)</f>
        <v>14</v>
      </c>
      <c r="D18" s="23" t="n">
        <f aca="false">SUM(D10:D17)</f>
        <v>29</v>
      </c>
      <c r="F18" s="32" t="n">
        <f aca="false">MAX(F10:F17)</f>
        <v>5</v>
      </c>
    </row>
    <row r="20" customFormat="false" ht="15" hidden="false" customHeight="false" outlineLevel="0" collapsed="false">
      <c r="A20" s="23" t="s">
        <v>306</v>
      </c>
      <c r="D20" s="33" t="n">
        <f aca="false">IF(($D$18)&lt;=MIN(Tablas!$A$9:$A$44),INDEX(Tablas!$C$9:$C$44,1),IF(($D$18)&gt;=MAX(Tablas!$A$9:$A$44),INDEX(Tablas!$C$9:$C$44,ROWS(Tablas!$A$9:$A$44)),INDEX(Tablas!$C$9:$C$44,MATCH(($D$18),Tablas!$A$9:$A$44,1))+(($D$18)-INDEX(Tablas!$A$9:$A$44,MATCH(($D$18),Tablas!$A$9:$A$44,1)))*(INDEX(Tablas!$C$9:$C$44,MATCH(($D$18),Tablas!$A$9:$A$44,1)+1)-INDEX(Tablas!$C$9:$C$44,MATCH(($D$18),Tablas!$A$9:$A$44,1)))/(INDEX(Tablas!$A$9:$A$44,MATCH(($D$18),Tablas!$A$9:$A$44,1)+1)-INDEX(Tablas!$A$9:$A$44,MATCH(($D$18),Tablas!$A$9:$A$44,1)))))</f>
        <v>1.447289188</v>
      </c>
      <c r="G20" s="34" t="s">
        <v>307</v>
      </c>
    </row>
    <row r="21" customFormat="false" ht="15" hidden="false" customHeight="false" outlineLevel="0" collapsed="false">
      <c r="A21" s="0" t="s">
        <v>308</v>
      </c>
      <c r="D21" s="35" t="n">
        <f aca="false">$D$20/Dotacion_Caudales!$D$31</f>
        <v>22.7720326783217</v>
      </c>
    </row>
  </sheetData>
  <mergeCells count="6">
    <mergeCell ref="A1:G1"/>
    <mergeCell ref="A2:G2"/>
    <mergeCell ref="A3:G3"/>
    <mergeCell ref="B5:G5"/>
    <mergeCell ref="B6:G6"/>
    <mergeCell ref="A8:G8"/>
  </mergeCell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2" min="10" style="0" width="10"/>
    <col collapsed="false" customWidth="true" hidden="false" outlineLevel="0" max="13" min="13" style="0" width="11"/>
    <col collapsed="false" customWidth="true" hidden="false" outlineLevel="0" max="15" min="14" style="0" width="12"/>
    <col collapsed="false" customWidth="true" hidden="false" outlineLevel="0" max="17" min="16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2" t="s">
        <v>309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5" customFormat="false" ht="25.5" hidden="false" customHeight="true" outlineLevel="0" collapsed="false">
      <c r="B5" s="4" t="s">
        <v>310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customFormat="false" ht="12.75" hidden="false" customHeight="true" outlineLevel="0" collapsed="false">
      <c r="B6" s="5" t="s">
        <v>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8" customFormat="false" ht="15" hidden="false" customHeight="false" outlineLevel="0" collapsed="false">
      <c r="A8" s="6" t="s">
        <v>311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customFormat="false" ht="15" hidden="false" customHeight="true" outlineLevel="0" collapsed="false">
      <c r="A9" s="36" t="s">
        <v>312</v>
      </c>
      <c r="B9" s="36"/>
      <c r="C9" s="14" t="n">
        <v>150</v>
      </c>
      <c r="D9" s="37"/>
      <c r="E9" s="3" t="s">
        <v>313</v>
      </c>
      <c r="F9" s="3"/>
      <c r="G9" s="3"/>
      <c r="H9" s="3"/>
      <c r="I9" s="3"/>
      <c r="J9" s="3"/>
    </row>
    <row r="10" customFormat="false" ht="15" hidden="false" customHeight="true" outlineLevel="0" collapsed="false">
      <c r="A10" s="36" t="s">
        <v>314</v>
      </c>
      <c r="B10" s="36"/>
      <c r="C10" s="30" t="n">
        <v>2</v>
      </c>
      <c r="D10" s="37" t="s">
        <v>315</v>
      </c>
      <c r="E10" s="3" t="s">
        <v>316</v>
      </c>
      <c r="F10" s="3"/>
      <c r="G10" s="3"/>
      <c r="H10" s="3"/>
      <c r="I10" s="3"/>
      <c r="J10" s="3"/>
    </row>
    <row r="11" customFormat="false" ht="28.35" hidden="false" customHeight="true" outlineLevel="0" collapsed="false">
      <c r="A11" s="36" t="s">
        <v>317</v>
      </c>
      <c r="B11" s="36"/>
      <c r="C11" s="30" t="n">
        <v>14.06</v>
      </c>
      <c r="D11" s="37" t="s">
        <v>318</v>
      </c>
      <c r="E11" s="3" t="s">
        <v>319</v>
      </c>
      <c r="F11" s="3"/>
      <c r="G11" s="3"/>
      <c r="H11" s="3"/>
      <c r="I11" s="3"/>
      <c r="J11" s="3"/>
    </row>
    <row r="12" customFormat="false" ht="15" hidden="false" customHeight="true" outlineLevel="0" collapsed="false">
      <c r="A12" s="36" t="s">
        <v>320</v>
      </c>
      <c r="B12" s="36"/>
      <c r="C12" s="38" t="n">
        <f aca="false">UC_Hunter!$F$18</f>
        <v>5</v>
      </c>
      <c r="D12" s="37" t="s">
        <v>318</v>
      </c>
      <c r="E12" s="3" t="s">
        <v>321</v>
      </c>
      <c r="F12" s="3"/>
      <c r="G12" s="3"/>
      <c r="H12" s="3"/>
      <c r="I12" s="3"/>
      <c r="J12" s="3"/>
    </row>
    <row r="14" customFormat="false" ht="15" hidden="false" customHeight="false" outlineLevel="0" collapsed="false">
      <c r="A14" s="6" t="s">
        <v>322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customFormat="false" ht="39.75" hidden="false" customHeight="true" outlineLevel="0" collapsed="false">
      <c r="A15" s="7" t="s">
        <v>323</v>
      </c>
      <c r="B15" s="7" t="s">
        <v>7</v>
      </c>
      <c r="C15" s="7" t="s">
        <v>324</v>
      </c>
      <c r="D15" s="7" t="s">
        <v>325</v>
      </c>
      <c r="E15" s="7" t="s">
        <v>326</v>
      </c>
      <c r="F15" s="7" t="s">
        <v>327</v>
      </c>
      <c r="G15" s="7" t="s">
        <v>328</v>
      </c>
      <c r="H15" s="7" t="s">
        <v>329</v>
      </c>
      <c r="I15" s="7" t="s">
        <v>330</v>
      </c>
      <c r="J15" s="7" t="s">
        <v>331</v>
      </c>
      <c r="K15" s="7" t="s">
        <v>332</v>
      </c>
      <c r="L15" s="7" t="s">
        <v>333</v>
      </c>
      <c r="M15" s="7" t="s">
        <v>334</v>
      </c>
      <c r="N15" s="7" t="s">
        <v>335</v>
      </c>
      <c r="O15" s="7" t="s">
        <v>336</v>
      </c>
      <c r="P15" s="7" t="s">
        <v>337</v>
      </c>
      <c r="Q15" s="7" t="s">
        <v>338</v>
      </c>
    </row>
    <row r="16" customFormat="false" ht="15" hidden="false" customHeight="false" outlineLevel="0" collapsed="false">
      <c r="A16" s="9" t="s">
        <v>339</v>
      </c>
      <c r="B16" s="8" t="s">
        <v>340</v>
      </c>
      <c r="C16" s="39" t="n">
        <f aca="false">UC_Hunter!$D$18</f>
        <v>29</v>
      </c>
      <c r="D16" s="40" t="n">
        <f aca="false">IF((C16)&lt;=MIN(Tablas!$A$9:$A$44),INDEX(Tablas!$C$9:$C$44,1),IF((C16)&gt;=MAX(Tablas!$A$9:$A$44),INDEX(Tablas!$C$9:$C$44,ROWS(Tablas!$A$9:$A$44)),INDEX(Tablas!$C$9:$C$44,MATCH((C16),Tablas!$A$9:$A$44,1))+((C16)-INDEX(Tablas!$A$9:$A$44,MATCH((C16),Tablas!$A$9:$A$44,1)))*(INDEX(Tablas!$C$9:$C$44,MATCH((C16),Tablas!$A$9:$A$44,1)+1)-INDEX(Tablas!$C$9:$C$44,MATCH((C16),Tablas!$A$9:$A$44,1)))/(INDEX(Tablas!$A$9:$A$44,MATCH((C16),Tablas!$A$9:$A$44,1)+1)-INDEX(Tablas!$A$9:$A$44,MATCH((C16),Tablas!$A$9:$A$44,1)))))</f>
        <v>1.447289188</v>
      </c>
      <c r="E16" s="10" t="s">
        <v>341</v>
      </c>
      <c r="F16" s="28" t="n">
        <f aca="false">INDEX(Tablas!$E$57:$E$62,MATCH(E16,Tablas!$A$57:$A$62,0))</f>
        <v>38.14</v>
      </c>
      <c r="G16" s="28" t="n">
        <f aca="false">D16/1000/(PI()*(F16/1000)^2/4)</f>
        <v>1.26678834472975</v>
      </c>
      <c r="H16" s="13" t="n">
        <v>8</v>
      </c>
      <c r="I16" s="13" t="n">
        <v>6</v>
      </c>
      <c r="J16" s="20" t="n">
        <f aca="false">H16+I16</f>
        <v>14</v>
      </c>
      <c r="K16" s="41" t="n">
        <f aca="false">10.67*(D16/1000)^1.852/($C$9^1.852*(F16/1000)^4.87)</f>
        <v>0.0444700791106552</v>
      </c>
      <c r="L16" s="28" t="n">
        <f aca="false">K16*J16</f>
        <v>0.622581107549173</v>
      </c>
      <c r="M16" s="30" t="n">
        <v>0.5</v>
      </c>
      <c r="N16" s="28" t="n">
        <f aca="false">$C$11</f>
        <v>14.06</v>
      </c>
      <c r="O16" s="28" t="n">
        <f aca="false">N16-L16-M16</f>
        <v>12.9374188924508</v>
      </c>
      <c r="P16" s="8" t="str">
        <f aca="false">IF(G16&lt;=$C$10,"CUMPLE","NO CUMPLE")</f>
        <v>CUMPLE</v>
      </c>
      <c r="Q16" s="8" t="str">
        <f aca="false">IF(O16&gt;=$C$12,"CUMPLE","NO CUMPLE")</f>
        <v>CUMPLE</v>
      </c>
    </row>
    <row r="17" customFormat="false" ht="15" hidden="false" customHeight="false" outlineLevel="0" collapsed="false">
      <c r="A17" s="9" t="s">
        <v>342</v>
      </c>
      <c r="B17" s="8" t="s">
        <v>343</v>
      </c>
      <c r="C17" s="10" t="n">
        <v>16</v>
      </c>
      <c r="D17" s="40" t="n">
        <f aca="false">IF((C17)&lt;=MIN(Tablas!$A$9:$A$44),INDEX(Tablas!$C$9:$C$44,1),IF((C17)&gt;=MAX(Tablas!$A$9:$A$44),INDEX(Tablas!$C$9:$C$44,ROWS(Tablas!$A$9:$A$44)),INDEX(Tablas!$C$9:$C$44,MATCH((C17),Tablas!$A$9:$A$44,1))+((C17)-INDEX(Tablas!$A$9:$A$44,MATCH((C17),Tablas!$A$9:$A$44,1)))*(INDEX(Tablas!$C$9:$C$44,MATCH((C17),Tablas!$A$9:$A$44,1)+1)-INDEX(Tablas!$C$9:$C$44,MATCH((C17),Tablas!$A$9:$A$44,1)))/(INDEX(Tablas!$A$9:$A$44,MATCH((C17),Tablas!$A$9:$A$44,1)+1)-INDEX(Tablas!$A$9:$A$44,MATCH((C17),Tablas!$A$9:$A$44,1)))))</f>
        <v>1.1356236</v>
      </c>
      <c r="E17" s="10" t="s">
        <v>344</v>
      </c>
      <c r="F17" s="28" t="n">
        <f aca="false">INDEX(Tablas!$E$57:$E$62,MATCH(E17,Tablas!$A$57:$A$62,0))</f>
        <v>30.22</v>
      </c>
      <c r="G17" s="28" t="n">
        <f aca="false">D17/1000/(PI()*(F17/1000)^2/4)</f>
        <v>1.58327227888328</v>
      </c>
      <c r="H17" s="13" t="n">
        <v>10</v>
      </c>
      <c r="I17" s="13" t="n">
        <v>5</v>
      </c>
      <c r="J17" s="20" t="n">
        <f aca="false">H17+I17</f>
        <v>15</v>
      </c>
      <c r="K17" s="41" t="n">
        <f aca="false">10.67*(D17/1000)^1.852/($C$9^1.852*(F17/1000)^4.87)</f>
        <v>0.0881664822765425</v>
      </c>
      <c r="L17" s="28" t="n">
        <f aca="false">K17*J17</f>
        <v>1.32249723414814</v>
      </c>
      <c r="M17" s="30" t="n">
        <v>0</v>
      </c>
      <c r="N17" s="28" t="n">
        <f aca="false">O16</f>
        <v>12.9374188924508</v>
      </c>
      <c r="O17" s="28" t="n">
        <f aca="false">N17-L17-M17</f>
        <v>11.6149216583027</v>
      </c>
      <c r="P17" s="8" t="str">
        <f aca="false">IF(G17&lt;=$C$10,"CUMPLE","NO CUMPLE")</f>
        <v>CUMPLE</v>
      </c>
      <c r="Q17" s="8" t="str">
        <f aca="false">IF(O17&gt;=$C$12,"CUMPLE","NO CUMPLE")</f>
        <v>CUMPLE</v>
      </c>
    </row>
    <row r="18" customFormat="false" ht="15" hidden="false" customHeight="false" outlineLevel="0" collapsed="false">
      <c r="A18" s="9" t="s">
        <v>345</v>
      </c>
      <c r="B18" s="8" t="s">
        <v>346</v>
      </c>
      <c r="C18" s="10" t="n">
        <v>6</v>
      </c>
      <c r="D18" s="40" t="n">
        <f aca="false">IF((C18)&lt;=MIN(Tablas!$A$9:$A$44),INDEX(Tablas!$C$9:$C$44,1),IF((C18)&gt;=MAX(Tablas!$A$9:$A$44),INDEX(Tablas!$C$9:$C$44,ROWS(Tablas!$A$9:$A$44)),INDEX(Tablas!$C$9:$C$44,MATCH((C18),Tablas!$A$9:$A$44,1))+((C18)-INDEX(Tablas!$A$9:$A$44,MATCH((C18),Tablas!$A$9:$A$44,1)))*(INDEX(Tablas!$C$9:$C$44,MATCH((C18),Tablas!$A$9:$A$44,1)+1)-INDEX(Tablas!$C$9:$C$44,MATCH((C18),Tablas!$A$9:$A$44,1)))/(INDEX(Tablas!$A$9:$A$44,MATCH((C18),Tablas!$A$9:$A$44,1)+1)-INDEX(Tablas!$A$9:$A$44,MATCH((C18),Tablas!$A$9:$A$44,1)))))</f>
        <v>0.67506514</v>
      </c>
      <c r="E18" s="10" t="s">
        <v>347</v>
      </c>
      <c r="F18" s="28" t="n">
        <f aca="false">INDEX(Tablas!$E$57:$E$62,MATCH(E18,Tablas!$A$57:$A$62,0))</f>
        <v>24.13</v>
      </c>
      <c r="G18" s="28" t="n">
        <f aca="false">D18/1000/(PI()*(F18/1000)^2/4)</f>
        <v>1.47618625304428</v>
      </c>
      <c r="H18" s="13" t="n">
        <v>6</v>
      </c>
      <c r="I18" s="13" t="n">
        <v>4</v>
      </c>
      <c r="J18" s="20" t="n">
        <f aca="false">H18+I18</f>
        <v>10</v>
      </c>
      <c r="K18" s="41" t="n">
        <f aca="false">10.67*(D18/1000)^1.852/($C$9^1.852*(F18/1000)^4.87)</f>
        <v>0.100678666054777</v>
      </c>
      <c r="L18" s="28" t="n">
        <f aca="false">K18*J18</f>
        <v>1.00678666054777</v>
      </c>
      <c r="M18" s="30" t="n">
        <v>0</v>
      </c>
      <c r="N18" s="28" t="n">
        <f aca="false">O17</f>
        <v>11.6149216583027</v>
      </c>
      <c r="O18" s="28" t="n">
        <f aca="false">N18-L18-M18</f>
        <v>10.6081349977549</v>
      </c>
      <c r="P18" s="8" t="str">
        <f aca="false">IF(G18&lt;=$C$10,"CUMPLE","NO CUMPLE")</f>
        <v>CUMPLE</v>
      </c>
      <c r="Q18" s="8" t="str">
        <f aca="false">IF(O18&gt;=$C$12,"CUMPLE","NO CUMPLE")</f>
        <v>CUMPLE</v>
      </c>
    </row>
    <row r="19" customFormat="false" ht="15" hidden="false" customHeight="false" outlineLevel="0" collapsed="false">
      <c r="A19" s="9" t="s">
        <v>348</v>
      </c>
      <c r="B19" s="8" t="s">
        <v>349</v>
      </c>
      <c r="C19" s="10" t="n">
        <v>2</v>
      </c>
      <c r="D19" s="40" t="n">
        <f aca="false">IF((C19)&lt;=MIN(Tablas!$A$9:$A$44),INDEX(Tablas!$C$9:$C$44,1),IF((C19)&gt;=MAX(Tablas!$A$9:$A$44),INDEX(Tablas!$C$9:$C$44,ROWS(Tablas!$A$9:$A$44)),INDEX(Tablas!$C$9:$C$44,MATCH((C19),Tablas!$A$9:$A$44,1))+((C19)-INDEX(Tablas!$A$9:$A$44,MATCH((C19),Tablas!$A$9:$A$44,1)))*(INDEX(Tablas!$C$9:$C$44,MATCH((C19),Tablas!$A$9:$A$44,1)+1)-INDEX(Tablas!$C$9:$C$44,MATCH((C19),Tablas!$A$9:$A$44,1)))/(INDEX(Tablas!$A$9:$A$44,MATCH((C19),Tablas!$A$9:$A$44,1)+1)-INDEX(Tablas!$A$9:$A$44,MATCH((C19),Tablas!$A$9:$A$44,1)))))</f>
        <v>0.315451</v>
      </c>
      <c r="E19" s="10" t="s">
        <v>298</v>
      </c>
      <c r="F19" s="28" t="n">
        <f aca="false">INDEX(Tablas!$E$57:$E$62,MATCH(E19,Tablas!$A$57:$A$62,0))</f>
        <v>18.18</v>
      </c>
      <c r="G19" s="28" t="n">
        <f aca="false">D19/1000/(PI()*(F19/1000)^2/4)</f>
        <v>1.21521821155954</v>
      </c>
      <c r="H19" s="13" t="n">
        <v>3</v>
      </c>
      <c r="I19" s="13" t="n">
        <v>3</v>
      </c>
      <c r="J19" s="20" t="n">
        <f aca="false">H19+I19</f>
        <v>6</v>
      </c>
      <c r="K19" s="41" t="n">
        <f aca="false">10.67*(D19/1000)^1.852/($C$9^1.852*(F19/1000)^4.87)</f>
        <v>0.097688425973765</v>
      </c>
      <c r="L19" s="28" t="n">
        <f aca="false">K19*J19</f>
        <v>0.58613055584259</v>
      </c>
      <c r="M19" s="30" t="n">
        <v>1.8</v>
      </c>
      <c r="N19" s="28" t="n">
        <f aca="false">O18</f>
        <v>10.6081349977549</v>
      </c>
      <c r="O19" s="28" t="n">
        <f aca="false">N19-L19-M19</f>
        <v>8.22200444191233</v>
      </c>
      <c r="P19" s="8" t="str">
        <f aca="false">IF(G19&lt;=$C$10,"CUMPLE","NO CUMPLE")</f>
        <v>CUMPLE</v>
      </c>
      <c r="Q19" s="8" t="str">
        <f aca="false">IF(O19&gt;=$C$12,"CUMPLE","NO CUMPLE")</f>
        <v>CUMPLE</v>
      </c>
    </row>
    <row r="21" customFormat="false" ht="15" hidden="false" customHeight="false" outlineLevel="0" collapsed="false">
      <c r="A21" s="42" t="s">
        <v>350</v>
      </c>
      <c r="B21" s="42"/>
      <c r="C21" s="33" t="n">
        <f aca="false">D16</f>
        <v>1.447289188</v>
      </c>
    </row>
    <row r="22" customFormat="false" ht="15" hidden="false" customHeight="false" outlineLevel="0" collapsed="false">
      <c r="A22" s="42" t="s">
        <v>351</v>
      </c>
      <c r="B22" s="42"/>
      <c r="C22" s="43" t="n">
        <f aca="false">SUM(L16:L19)</f>
        <v>3.53799555808767</v>
      </c>
    </row>
    <row r="23" customFormat="false" ht="15" hidden="false" customHeight="false" outlineLevel="0" collapsed="false">
      <c r="A23" s="42" t="s">
        <v>352</v>
      </c>
      <c r="B23" s="42"/>
      <c r="C23" s="43" t="n">
        <f aca="false">SUM(M16:M19)</f>
        <v>2.3</v>
      </c>
    </row>
    <row r="24" customFormat="false" ht="15" hidden="false" customHeight="false" outlineLevel="0" collapsed="false">
      <c r="A24" s="42" t="s">
        <v>353</v>
      </c>
      <c r="B24" s="42"/>
      <c r="C24" s="43" t="n">
        <f aca="false">O19</f>
        <v>8.22200444191233</v>
      </c>
    </row>
    <row r="26" customFormat="false" ht="25.5" hidden="false" customHeight="true" outlineLevel="0" collapsed="false">
      <c r="B26" s="4" t="s">
        <v>354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customFormat="false" ht="15" hidden="false" customHeight="false" outlineLevel="0" collapsed="false">
      <c r="A27" s="44" t="s">
        <v>355</v>
      </c>
      <c r="B27" s="44"/>
      <c r="C27" s="23" t="str">
        <f aca="false">IF(COUNTIF(P16:P19,"NO CUMPLE")=0,"CUMPLE","NO CUMPLE")</f>
        <v>CUMPLE</v>
      </c>
    </row>
    <row r="28" customFormat="false" ht="15" hidden="false" customHeight="false" outlineLevel="0" collapsed="false">
      <c r="A28" s="44" t="s">
        <v>356</v>
      </c>
      <c r="B28" s="44"/>
      <c r="C28" s="23" t="str">
        <f aca="false">IF(COUNTIF(Q16:Q19,"NO CUMPLE")=0,"CUMPLE","NO CUMPLE")</f>
        <v>CUMPLE</v>
      </c>
    </row>
  </sheetData>
  <mergeCells count="22">
    <mergeCell ref="A1:Q1"/>
    <mergeCell ref="A2:Q2"/>
    <mergeCell ref="A3:Q3"/>
    <mergeCell ref="B5:Q5"/>
    <mergeCell ref="B6:Q6"/>
    <mergeCell ref="A8:Q8"/>
    <mergeCell ref="A9:B9"/>
    <mergeCell ref="E9:J9"/>
    <mergeCell ref="A10:B10"/>
    <mergeCell ref="E10:J10"/>
    <mergeCell ref="A11:B11"/>
    <mergeCell ref="E11:J11"/>
    <mergeCell ref="A12:B12"/>
    <mergeCell ref="E12:J12"/>
    <mergeCell ref="A14:Q14"/>
    <mergeCell ref="A21:B21"/>
    <mergeCell ref="A22:B22"/>
    <mergeCell ref="A23:B23"/>
    <mergeCell ref="A24:B24"/>
    <mergeCell ref="B26:Q26"/>
    <mergeCell ref="A27:B27"/>
    <mergeCell ref="A28:B28"/>
  </mergeCells>
  <conditionalFormatting sqref="P16:Q19">
    <cfRule type="cellIs" priority="2" operator="equal" aboveAverage="0" equalAverage="0" bottom="0" percent="0" rank="0" text="" dxfId="0">
      <formula>"CUMPLE"</formula>
    </cfRule>
    <cfRule type="cellIs" priority="3" operator="equal" aboveAverage="0" equalAverage="0" bottom="0" percent="0" rank="0" text="" dxfId="1">
      <formula>"NO CUMPLE"</formula>
    </cfRule>
  </conditionalFormatting>
  <conditionalFormatting sqref="C27">
    <cfRule type="cellIs" priority="4" operator="equal" aboveAverage="0" equalAverage="0" bottom="0" percent="0" rank="0" text="" dxfId="0">
      <formula>"CUMPLE"</formula>
    </cfRule>
    <cfRule type="cellIs" priority="5" operator="equal" aboveAverage="0" equalAverage="0" bottom="0" percent="0" rank="0" text="" dxfId="1">
      <formula>"NO CUMPLE"</formula>
    </cfRule>
  </conditionalFormatting>
  <conditionalFormatting sqref="C28">
    <cfRule type="cellIs" priority="6" operator="equal" aboveAverage="0" equalAverage="0" bottom="0" percent="0" rank="0" text="" dxfId="0">
      <formula>"CUMPLE"</formula>
    </cfRule>
    <cfRule type="cellIs" priority="7" operator="equal" aboveAverage="0" equalAverage="0" bottom="0" percent="0" rank="0" text="" dxfId="1">
      <formula>"NO CUMPLE"</formula>
    </cfRule>
  </conditionalFormatting>
  <dataValidations count="4">
    <dataValidation allowBlank="false" errorStyle="stop" operator="between" showDropDown="false" showErrorMessage="false" showInputMessage="false" sqref="E16" type="list">
      <formula1>Tablas!$A$57:$A$62</formula1>
      <formula2>0</formula2>
    </dataValidation>
    <dataValidation allowBlank="false" errorStyle="stop" operator="between" showDropDown="false" showErrorMessage="false" showInputMessage="false" sqref="E17" type="list">
      <formula1>Tablas!$A$57:$A$62</formula1>
      <formula2>0</formula2>
    </dataValidation>
    <dataValidation allowBlank="false" errorStyle="stop" operator="between" showDropDown="false" showErrorMessage="false" showInputMessage="false" sqref="E18" type="list">
      <formula1>Tablas!$A$57:$A$62</formula1>
      <formula2>0</formula2>
    </dataValidation>
    <dataValidation allowBlank="false" errorStyle="stop" operator="between" showDropDown="false" showErrorMessage="false" showInputMessage="false" sqref="E19" type="list">
      <formula1>Tablas!$A$57:$A$62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357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6" customFormat="false" ht="15" hidden="false" customHeight="false" outlineLevel="0" collapsed="false">
      <c r="A6" s="6" t="s">
        <v>358</v>
      </c>
      <c r="B6" s="6"/>
      <c r="C6" s="6"/>
      <c r="D6" s="6"/>
      <c r="E6" s="6"/>
      <c r="F6" s="6"/>
    </row>
    <row r="7" customFormat="false" ht="15" hidden="false" customHeight="false" outlineLevel="0" collapsed="false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customFormat="false" ht="15" hidden="false" customHeight="false" outlineLevel="0" collapsed="false">
      <c r="A8" s="8" t="s">
        <v>12</v>
      </c>
      <c r="B8" s="9" t="s">
        <v>359</v>
      </c>
      <c r="C8" s="8" t="s">
        <v>115</v>
      </c>
      <c r="D8" s="30" t="n">
        <v>10</v>
      </c>
      <c r="E8" s="8" t="s">
        <v>318</v>
      </c>
      <c r="F8" s="11" t="s">
        <v>360</v>
      </c>
    </row>
    <row r="9" customFormat="false" ht="15" hidden="false" customHeight="false" outlineLevel="0" collapsed="false">
      <c r="A9" s="8" t="s">
        <v>15</v>
      </c>
      <c r="B9" s="9" t="s">
        <v>361</v>
      </c>
      <c r="C9" s="8" t="s">
        <v>362</v>
      </c>
      <c r="D9" s="13" t="n">
        <v>25</v>
      </c>
      <c r="E9" s="8" t="s">
        <v>280</v>
      </c>
      <c r="F9" s="11" t="s">
        <v>4</v>
      </c>
    </row>
    <row r="10" customFormat="false" ht="23.85" hidden="false" customHeight="false" outlineLevel="0" collapsed="false">
      <c r="A10" s="8" t="s">
        <v>18</v>
      </c>
      <c r="B10" s="9" t="s">
        <v>363</v>
      </c>
      <c r="C10" s="8" t="s">
        <v>364</v>
      </c>
      <c r="D10" s="13" t="n">
        <v>8</v>
      </c>
      <c r="E10" s="8" t="s">
        <v>280</v>
      </c>
      <c r="F10" s="11"/>
    </row>
    <row r="11" customFormat="false" ht="15" hidden="false" customHeight="false" outlineLevel="0" collapsed="false">
      <c r="A11" s="8" t="s">
        <v>22</v>
      </c>
      <c r="B11" s="9" t="s">
        <v>365</v>
      </c>
      <c r="C11" s="8" t="s">
        <v>366</v>
      </c>
      <c r="D11" s="30" t="n">
        <v>0.5</v>
      </c>
      <c r="E11" s="8" t="s">
        <v>280</v>
      </c>
      <c r="F11" s="11"/>
    </row>
    <row r="12" customFormat="false" ht="15" hidden="false" customHeight="false" outlineLevel="0" collapsed="false">
      <c r="A12" s="8" t="s">
        <v>27</v>
      </c>
      <c r="B12" s="9" t="s">
        <v>367</v>
      </c>
      <c r="C12" s="8" t="s">
        <v>368</v>
      </c>
      <c r="D12" s="13" t="n">
        <v>6</v>
      </c>
      <c r="E12" s="8" t="s">
        <v>273</v>
      </c>
      <c r="F12" s="11" t="s">
        <v>369</v>
      </c>
    </row>
    <row r="13" customFormat="false" ht="15" hidden="false" customHeight="false" outlineLevel="0" collapsed="false">
      <c r="A13" s="8" t="s">
        <v>32</v>
      </c>
      <c r="B13" s="9" t="s">
        <v>370</v>
      </c>
      <c r="C13" s="8" t="s">
        <v>371</v>
      </c>
      <c r="D13" s="10" t="s">
        <v>347</v>
      </c>
      <c r="E13" s="8"/>
      <c r="F13" s="11" t="s">
        <v>372</v>
      </c>
    </row>
    <row r="14" customFormat="false" ht="15" hidden="false" customHeight="false" outlineLevel="0" collapsed="false">
      <c r="A14" s="8" t="s">
        <v>36</v>
      </c>
      <c r="B14" s="9" t="s">
        <v>373</v>
      </c>
      <c r="C14" s="8" t="s">
        <v>121</v>
      </c>
      <c r="D14" s="30" t="n">
        <v>2</v>
      </c>
      <c r="E14" s="8" t="s">
        <v>318</v>
      </c>
      <c r="F14" s="11" t="s">
        <v>374</v>
      </c>
    </row>
    <row r="16" customFormat="false" ht="15" hidden="false" customHeight="false" outlineLevel="0" collapsed="false">
      <c r="A16" s="6" t="s">
        <v>375</v>
      </c>
      <c r="B16" s="6"/>
      <c r="C16" s="6"/>
      <c r="D16" s="6"/>
      <c r="E16" s="6"/>
      <c r="F16" s="6"/>
    </row>
    <row r="17" customFormat="false" ht="15" hidden="false" customHeight="false" outlineLevel="0" collapsed="false">
      <c r="A17" s="7" t="s">
        <v>6</v>
      </c>
      <c r="B17" s="7" t="s">
        <v>7</v>
      </c>
      <c r="C17" s="7" t="s">
        <v>8</v>
      </c>
      <c r="D17" s="7" t="s">
        <v>9</v>
      </c>
      <c r="E17" s="7" t="s">
        <v>10</v>
      </c>
      <c r="F17" s="7" t="s">
        <v>11</v>
      </c>
    </row>
    <row r="18" customFormat="false" ht="15" hidden="false" customHeight="false" outlineLevel="0" collapsed="false">
      <c r="A18" s="8" t="s">
        <v>48</v>
      </c>
      <c r="B18" s="9" t="s">
        <v>376</v>
      </c>
      <c r="C18" s="8" t="s">
        <v>377</v>
      </c>
      <c r="D18" s="45" t="n">
        <f aca="false">MAX(Dotacion_Caudales!$D$29,Almacenamiento!$D$18/($D$12*3600))</f>
        <v>0.185185185185185</v>
      </c>
      <c r="E18" s="8" t="s">
        <v>230</v>
      </c>
      <c r="F18" s="11" t="s">
        <v>378</v>
      </c>
    </row>
    <row r="19" customFormat="false" ht="15" hidden="false" customHeight="false" outlineLevel="0" collapsed="false">
      <c r="A19" s="8" t="s">
        <v>52</v>
      </c>
      <c r="B19" s="9" t="s">
        <v>379</v>
      </c>
      <c r="C19" s="8" t="s">
        <v>380</v>
      </c>
      <c r="D19" s="28" t="n">
        <f aca="false">INDEX(Tablas!$E$57:$E$62,MATCH($D$13,Tablas!$A$57:$A$62,0))</f>
        <v>24.13</v>
      </c>
      <c r="E19" s="8" t="s">
        <v>381</v>
      </c>
      <c r="F19" s="11" t="s">
        <v>382</v>
      </c>
    </row>
    <row r="20" customFormat="false" ht="15" hidden="false" customHeight="false" outlineLevel="0" collapsed="false">
      <c r="A20" s="8" t="s">
        <v>55</v>
      </c>
      <c r="B20" s="9" t="s">
        <v>383</v>
      </c>
      <c r="C20" s="8" t="s">
        <v>384</v>
      </c>
      <c r="D20" s="28" t="n">
        <f aca="false">$D$18/1000/(PI()*($D$19/1000)^2/4)</f>
        <v>0.40495029063096</v>
      </c>
      <c r="E20" s="8" t="s">
        <v>315</v>
      </c>
      <c r="F20" s="11"/>
    </row>
    <row r="21" customFormat="false" ht="15" hidden="false" customHeight="false" outlineLevel="0" collapsed="false">
      <c r="A21" s="8" t="s">
        <v>58</v>
      </c>
      <c r="B21" s="9" t="s">
        <v>385</v>
      </c>
      <c r="C21" s="8" t="s">
        <v>160</v>
      </c>
      <c r="D21" s="18" t="str">
        <f aca="false">IF($D$20&lt;=Tramos!$C$10,"CUMPLE","NO CUMPLE")</f>
        <v>CUMPLE</v>
      </c>
      <c r="E21" s="8"/>
      <c r="F21" s="11" t="s">
        <v>386</v>
      </c>
    </row>
    <row r="22" customFormat="false" ht="15" hidden="false" customHeight="false" outlineLevel="0" collapsed="false">
      <c r="A22" s="8" t="s">
        <v>61</v>
      </c>
      <c r="B22" s="9" t="s">
        <v>387</v>
      </c>
      <c r="C22" s="8" t="s">
        <v>388</v>
      </c>
      <c r="D22" s="40" t="n">
        <f aca="false">10.67*($D$18/1000)^1.852/(Tramos!$C$9^1.852*($D$19/1000)^4.87)*($D$9+$D$10)</f>
        <v>0.302767982305768</v>
      </c>
      <c r="E22" s="8" t="s">
        <v>280</v>
      </c>
      <c r="F22" s="11"/>
    </row>
    <row r="23" customFormat="false" ht="15" hidden="false" customHeight="false" outlineLevel="0" collapsed="false">
      <c r="A23" s="8" t="s">
        <v>64</v>
      </c>
      <c r="B23" s="9" t="s">
        <v>389</v>
      </c>
      <c r="C23" s="8" t="s">
        <v>127</v>
      </c>
      <c r="D23" s="46" t="n">
        <f aca="false">$D$8-$D$22-$D$11</f>
        <v>9.19723201769423</v>
      </c>
      <c r="E23" s="8" t="s">
        <v>318</v>
      </c>
      <c r="F23" s="11"/>
    </row>
    <row r="24" customFormat="false" ht="15" hidden="false" customHeight="false" outlineLevel="0" collapsed="false">
      <c r="A24" s="8" t="s">
        <v>67</v>
      </c>
      <c r="B24" s="9" t="s">
        <v>390</v>
      </c>
      <c r="C24" s="8" t="s">
        <v>160</v>
      </c>
      <c r="D24" s="18" t="str">
        <f aca="false">IF($D$23&gt;=$D$14,"CUMPLE","NO CUMPLE")</f>
        <v>CUMPLE</v>
      </c>
      <c r="E24" s="8"/>
      <c r="F24" s="11" t="s">
        <v>386</v>
      </c>
    </row>
    <row r="26" customFormat="false" ht="15" hidden="false" customHeight="false" outlineLevel="0" collapsed="false">
      <c r="A26" s="6" t="s">
        <v>391</v>
      </c>
      <c r="B26" s="6"/>
      <c r="C26" s="6"/>
      <c r="D26" s="6"/>
      <c r="E26" s="6"/>
      <c r="F26" s="6"/>
    </row>
    <row r="27" customFormat="false" ht="15" hidden="false" customHeight="false" outlineLevel="0" collapsed="false">
      <c r="A27" s="7" t="s">
        <v>6</v>
      </c>
      <c r="B27" s="7" t="s">
        <v>7</v>
      </c>
      <c r="C27" s="7" t="s">
        <v>8</v>
      </c>
      <c r="D27" s="7" t="s">
        <v>9</v>
      </c>
      <c r="E27" s="7" t="s">
        <v>10</v>
      </c>
      <c r="F27" s="7" t="s">
        <v>11</v>
      </c>
    </row>
    <row r="28" customFormat="false" ht="15" hidden="false" customHeight="false" outlineLevel="0" collapsed="false">
      <c r="A28" s="8" t="s">
        <v>132</v>
      </c>
      <c r="B28" s="9" t="s">
        <v>392</v>
      </c>
      <c r="C28" s="8" t="s">
        <v>377</v>
      </c>
      <c r="D28" s="40" t="n">
        <f aca="false">$D$18*3.6</f>
        <v>0.666666666666667</v>
      </c>
      <c r="E28" s="8" t="s">
        <v>393</v>
      </c>
      <c r="F28" s="11"/>
    </row>
    <row r="29" customFormat="false" ht="15" hidden="false" customHeight="false" outlineLevel="0" collapsed="false">
      <c r="A29" s="8" t="s">
        <v>136</v>
      </c>
      <c r="B29" s="9" t="s">
        <v>394</v>
      </c>
      <c r="C29" s="8" t="s">
        <v>395</v>
      </c>
      <c r="D29" s="20" t="n">
        <f aca="false">INDEX(Tablas!$B$67:$B$72,MATCH($D$13,Tablas!$A$67:$A$72,0))</f>
        <v>4</v>
      </c>
      <c r="E29" s="8" t="s">
        <v>393</v>
      </c>
      <c r="F29" s="11" t="s">
        <v>396</v>
      </c>
    </row>
    <row r="30" customFormat="false" ht="15" hidden="false" customHeight="false" outlineLevel="0" collapsed="false">
      <c r="A30" s="8" t="s">
        <v>140</v>
      </c>
      <c r="B30" s="9" t="s">
        <v>397</v>
      </c>
      <c r="C30" s="8" t="s">
        <v>160</v>
      </c>
      <c r="D30" s="18" t="str">
        <f aca="false">IF($D$28&lt;=$D$29,"CUMPLE","NO CUMPLE")</f>
        <v>CUMPLE</v>
      </c>
      <c r="E30" s="8"/>
      <c r="F30" s="11" t="s">
        <v>398</v>
      </c>
    </row>
  </sheetData>
  <mergeCells count="6">
    <mergeCell ref="A1:F1"/>
    <mergeCell ref="A2:F2"/>
    <mergeCell ref="A3:F3"/>
    <mergeCell ref="A6:F6"/>
    <mergeCell ref="A16:F16"/>
    <mergeCell ref="A26:F26"/>
  </mergeCells>
  <conditionalFormatting sqref="D21">
    <cfRule type="cellIs" priority="2" operator="equal" aboveAverage="0" equalAverage="0" bottom="0" percent="0" rank="0" text="" dxfId="0">
      <formula>"CUMPLE"</formula>
    </cfRule>
    <cfRule type="cellIs" priority="3" operator="equal" aboveAverage="0" equalAverage="0" bottom="0" percent="0" rank="0" text="" dxfId="1">
      <formula>"NO CUMPLE"</formula>
    </cfRule>
  </conditionalFormatting>
  <conditionalFormatting sqref="D24">
    <cfRule type="cellIs" priority="4" operator="equal" aboveAverage="0" equalAverage="0" bottom="0" percent="0" rank="0" text="" dxfId="0">
      <formula>"CUMPLE"</formula>
    </cfRule>
    <cfRule type="cellIs" priority="5" operator="equal" aboveAverage="0" equalAverage="0" bottom="0" percent="0" rank="0" text="" dxfId="1">
      <formula>"NO CUMPLE"</formula>
    </cfRule>
  </conditionalFormatting>
  <conditionalFormatting sqref="D30">
    <cfRule type="cellIs" priority="6" operator="equal" aboveAverage="0" equalAverage="0" bottom="0" percent="0" rank="0" text="" dxfId="0">
      <formula>"CUMPLE"</formula>
    </cfRule>
    <cfRule type="cellIs" priority="7" operator="equal" aboveAverage="0" equalAverage="0" bottom="0" percent="0" rank="0" text="" dxfId="1">
      <formula>"NO CUMPLE"</formula>
    </cfRule>
  </conditionalFormatting>
  <dataValidations count="1">
    <dataValidation allowBlank="false" errorStyle="stop" operator="between" showDropDown="false" showErrorMessage="false" showInputMessage="false" sqref="D13" type="list">
      <formula1>Tablas!$A$57:$A$62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399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6" customFormat="false" ht="15" hidden="false" customHeight="false" outlineLevel="0" collapsed="false">
      <c r="A6" s="6" t="s">
        <v>400</v>
      </c>
      <c r="B6" s="6"/>
      <c r="C6" s="6"/>
      <c r="D6" s="6"/>
      <c r="E6" s="6"/>
      <c r="F6" s="6"/>
    </row>
    <row r="7" customFormat="false" ht="15" hidden="false" customHeight="false" outlineLevel="0" collapsed="false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customFormat="false" ht="15" hidden="false" customHeight="false" outlineLevel="0" collapsed="false">
      <c r="A8" s="8" t="s">
        <v>12</v>
      </c>
      <c r="B8" s="9" t="s">
        <v>401</v>
      </c>
      <c r="C8" s="8" t="s">
        <v>402</v>
      </c>
      <c r="D8" s="47" t="n">
        <f aca="false">Tramos!$C$21</f>
        <v>1.447289188</v>
      </c>
      <c r="E8" s="8" t="s">
        <v>230</v>
      </c>
      <c r="F8" s="11" t="s">
        <v>403</v>
      </c>
    </row>
    <row r="9" customFormat="false" ht="23.85" hidden="false" customHeight="false" outlineLevel="0" collapsed="false">
      <c r="A9" s="8" t="s">
        <v>15</v>
      </c>
      <c r="B9" s="9" t="s">
        <v>404</v>
      </c>
      <c r="C9" s="8" t="s">
        <v>405</v>
      </c>
      <c r="D9" s="30" t="n">
        <v>1</v>
      </c>
      <c r="E9" s="8" t="s">
        <v>280</v>
      </c>
      <c r="F9" s="11" t="s">
        <v>4</v>
      </c>
    </row>
    <row r="10" customFormat="false" ht="23.85" hidden="false" customHeight="false" outlineLevel="0" collapsed="false">
      <c r="A10" s="8" t="s">
        <v>18</v>
      </c>
      <c r="B10" s="9" t="s">
        <v>406</v>
      </c>
      <c r="C10" s="8" t="s">
        <v>407</v>
      </c>
      <c r="D10" s="30" t="n">
        <v>1.5</v>
      </c>
      <c r="E10" s="8" t="s">
        <v>280</v>
      </c>
      <c r="F10" s="11"/>
    </row>
    <row r="11" customFormat="false" ht="15" hidden="false" customHeight="false" outlineLevel="0" collapsed="false">
      <c r="A11" s="8" t="s">
        <v>22</v>
      </c>
      <c r="B11" s="9" t="s">
        <v>408</v>
      </c>
      <c r="C11" s="8" t="s">
        <v>409</v>
      </c>
      <c r="D11" s="30" t="n">
        <v>14.06</v>
      </c>
      <c r="E11" s="8" t="s">
        <v>318</v>
      </c>
      <c r="F11" s="11" t="s">
        <v>410</v>
      </c>
    </row>
    <row r="12" customFormat="false" ht="15" hidden="false" customHeight="false" outlineLevel="0" collapsed="false">
      <c r="A12" s="8" t="s">
        <v>27</v>
      </c>
      <c r="B12" s="9" t="s">
        <v>411</v>
      </c>
      <c r="C12" s="8" t="s">
        <v>412</v>
      </c>
      <c r="D12" s="28" t="n">
        <f aca="false">Tramos!$C$11+$D$11</f>
        <v>28.12</v>
      </c>
      <c r="E12" s="8" t="s">
        <v>318</v>
      </c>
      <c r="F12" s="11" t="s">
        <v>413</v>
      </c>
    </row>
    <row r="13" customFormat="false" ht="15" hidden="false" customHeight="false" outlineLevel="0" collapsed="false">
      <c r="A13" s="8" t="s">
        <v>32</v>
      </c>
      <c r="B13" s="9" t="s">
        <v>414</v>
      </c>
      <c r="C13" s="8" t="s">
        <v>415</v>
      </c>
      <c r="D13" s="46" t="n">
        <f aca="false">$D$9+$D$10+$D$12</f>
        <v>30.62</v>
      </c>
      <c r="E13" s="8" t="s">
        <v>280</v>
      </c>
      <c r="F13" s="11"/>
    </row>
    <row r="14" customFormat="false" ht="15" hidden="false" customHeight="false" outlineLevel="0" collapsed="false">
      <c r="A14" s="8" t="s">
        <v>36</v>
      </c>
      <c r="B14" s="9" t="s">
        <v>416</v>
      </c>
      <c r="C14" s="8" t="s">
        <v>160</v>
      </c>
      <c r="D14" s="18" t="str">
        <f aca="false">IF(Tramos!$C$11&gt;=Tramos!$C$22+Tramos!$C$23+Tramos!$C$12,"CUMPLE","NO CUMPLE")</f>
        <v>CUMPLE</v>
      </c>
      <c r="E14" s="8"/>
      <c r="F14" s="11" t="s">
        <v>417</v>
      </c>
    </row>
    <row r="15" customFormat="false" ht="15" hidden="false" customHeight="false" outlineLevel="0" collapsed="false">
      <c r="A15" s="8" t="s">
        <v>40</v>
      </c>
      <c r="B15" s="9" t="s">
        <v>418</v>
      </c>
      <c r="C15" s="8" t="s">
        <v>160</v>
      </c>
      <c r="D15" s="18" t="str">
        <f aca="false">IF($D$12&lt;=50,"CUMPLE","NO CUMPLE")</f>
        <v>CUMPLE</v>
      </c>
      <c r="E15" s="8"/>
      <c r="F15" s="11" t="s">
        <v>419</v>
      </c>
    </row>
    <row r="17" customFormat="false" ht="15" hidden="false" customHeight="false" outlineLevel="0" collapsed="false">
      <c r="A17" s="6" t="s">
        <v>420</v>
      </c>
      <c r="B17" s="6"/>
      <c r="C17" s="6"/>
      <c r="D17" s="6"/>
      <c r="E17" s="6"/>
      <c r="F17" s="6"/>
    </row>
    <row r="18" customFormat="false" ht="15" hidden="false" customHeight="false" outlineLevel="0" collapsed="false">
      <c r="A18" s="7" t="s">
        <v>6</v>
      </c>
      <c r="B18" s="7" t="s">
        <v>7</v>
      </c>
      <c r="C18" s="7" t="s">
        <v>8</v>
      </c>
      <c r="D18" s="7" t="s">
        <v>9</v>
      </c>
      <c r="E18" s="7" t="s">
        <v>10</v>
      </c>
      <c r="F18" s="7" t="s">
        <v>11</v>
      </c>
    </row>
    <row r="19" customFormat="false" ht="15" hidden="false" customHeight="false" outlineLevel="0" collapsed="false">
      <c r="A19" s="8" t="s">
        <v>48</v>
      </c>
      <c r="B19" s="9" t="s">
        <v>421</v>
      </c>
      <c r="C19" s="8" t="s">
        <v>422</v>
      </c>
      <c r="D19" s="30" t="n">
        <v>0.5</v>
      </c>
      <c r="E19" s="8"/>
      <c r="F19" s="11" t="s">
        <v>423</v>
      </c>
    </row>
    <row r="20" customFormat="false" ht="15" hidden="false" customHeight="false" outlineLevel="0" collapsed="false">
      <c r="A20" s="8" t="s">
        <v>52</v>
      </c>
      <c r="B20" s="9" t="s">
        <v>424</v>
      </c>
      <c r="C20" s="8" t="s">
        <v>425</v>
      </c>
      <c r="D20" s="28" t="n">
        <f aca="false">$D$8*$D$13/(76*$D$19)</f>
        <v>1.16621039306737</v>
      </c>
      <c r="E20" s="8" t="s">
        <v>426</v>
      </c>
      <c r="F20" s="11" t="s">
        <v>427</v>
      </c>
    </row>
    <row r="21" customFormat="false" ht="15" hidden="false" customHeight="false" outlineLevel="0" collapsed="false">
      <c r="A21" s="8" t="s">
        <v>55</v>
      </c>
      <c r="B21" s="9" t="s">
        <v>428</v>
      </c>
      <c r="C21" s="8" t="s">
        <v>429</v>
      </c>
      <c r="D21" s="46" t="n">
        <f aca="false">INDEX(Tablas!$A$76:$A$82,COUNTIF(Tablas!$A$76:$A$82,"&lt;"&amp;$D$20)+1)</f>
        <v>1.5</v>
      </c>
      <c r="E21" s="8" t="s">
        <v>426</v>
      </c>
      <c r="F21" s="11" t="s">
        <v>430</v>
      </c>
    </row>
    <row r="23" customFormat="false" ht="15" hidden="false" customHeight="false" outlineLevel="0" collapsed="false">
      <c r="A23" s="6" t="s">
        <v>431</v>
      </c>
      <c r="B23" s="6"/>
      <c r="C23" s="6"/>
      <c r="D23" s="6"/>
      <c r="E23" s="6"/>
      <c r="F23" s="6"/>
    </row>
    <row r="24" customFormat="false" ht="15" hidden="false" customHeight="false" outlineLevel="0" collapsed="false">
      <c r="A24" s="7" t="s">
        <v>6</v>
      </c>
      <c r="B24" s="7" t="s">
        <v>7</v>
      </c>
      <c r="C24" s="7" t="s">
        <v>8</v>
      </c>
      <c r="D24" s="7" t="s">
        <v>9</v>
      </c>
      <c r="E24" s="7" t="s">
        <v>10</v>
      </c>
      <c r="F24" s="7" t="s">
        <v>11</v>
      </c>
    </row>
    <row r="25" customFormat="false" ht="15" hidden="false" customHeight="false" outlineLevel="0" collapsed="false">
      <c r="A25" s="8" t="s">
        <v>132</v>
      </c>
      <c r="B25" s="9" t="s">
        <v>432</v>
      </c>
      <c r="C25" s="8" t="s">
        <v>433</v>
      </c>
      <c r="D25" s="14" t="n">
        <v>15</v>
      </c>
      <c r="E25" s="8" t="s">
        <v>434</v>
      </c>
      <c r="F25" s="11" t="s">
        <v>435</v>
      </c>
    </row>
    <row r="26" customFormat="false" ht="15" hidden="false" customHeight="false" outlineLevel="0" collapsed="false">
      <c r="A26" s="8" t="s">
        <v>136</v>
      </c>
      <c r="B26" s="9" t="s">
        <v>436</v>
      </c>
      <c r="C26" s="8" t="s">
        <v>437</v>
      </c>
      <c r="D26" s="15" t="n">
        <f aca="false">3600/$D$25</f>
        <v>240</v>
      </c>
      <c r="E26" s="8" t="s">
        <v>438</v>
      </c>
      <c r="F26" s="11"/>
    </row>
    <row r="27" customFormat="false" ht="15" hidden="false" customHeight="false" outlineLevel="0" collapsed="false">
      <c r="A27" s="8" t="s">
        <v>140</v>
      </c>
      <c r="B27" s="9" t="s">
        <v>439</v>
      </c>
      <c r="C27" s="8" t="s">
        <v>440</v>
      </c>
      <c r="D27" s="20" t="n">
        <f aca="false">$D$8*$D$26/4</f>
        <v>86.83735128</v>
      </c>
      <c r="E27" s="8" t="s">
        <v>259</v>
      </c>
      <c r="F27" s="11" t="s">
        <v>441</v>
      </c>
    </row>
    <row r="28" customFormat="false" ht="15" hidden="false" customHeight="false" outlineLevel="0" collapsed="false">
      <c r="A28" s="8" t="s">
        <v>286</v>
      </c>
      <c r="B28" s="9" t="s">
        <v>442</v>
      </c>
      <c r="C28" s="8" t="s">
        <v>443</v>
      </c>
      <c r="D28" s="28" t="n">
        <f aca="false">10.33*(1-0.0000225577*Datos!$D$13)^5.25588</f>
        <v>8.72672369074966</v>
      </c>
      <c r="E28" s="8" t="s">
        <v>318</v>
      </c>
      <c r="F28" s="11" t="s">
        <v>444</v>
      </c>
    </row>
    <row r="29" customFormat="false" ht="15" hidden="false" customHeight="false" outlineLevel="0" collapsed="false">
      <c r="A29" s="8" t="s">
        <v>445</v>
      </c>
      <c r="B29" s="9" t="s">
        <v>446</v>
      </c>
      <c r="C29" s="8" t="s">
        <v>447</v>
      </c>
      <c r="D29" s="21" t="n">
        <f aca="false">$D$27*($D$12+$D$28)/($D$12-Tramos!$C$11)</f>
        <v>227.572680558373</v>
      </c>
      <c r="E29" s="8" t="s">
        <v>259</v>
      </c>
      <c r="F29" s="11" t="s">
        <v>448</v>
      </c>
    </row>
    <row r="30" customFormat="false" ht="15" hidden="false" customHeight="false" outlineLevel="0" collapsed="false">
      <c r="A30" s="8" t="s">
        <v>449</v>
      </c>
      <c r="B30" s="9" t="s">
        <v>450</v>
      </c>
      <c r="C30" s="8" t="s">
        <v>451</v>
      </c>
      <c r="D30" s="14" t="n">
        <v>300</v>
      </c>
      <c r="E30" s="8" t="s">
        <v>259</v>
      </c>
      <c r="F30" s="11" t="s">
        <v>452</v>
      </c>
    </row>
    <row r="31" customFormat="false" ht="15" hidden="false" customHeight="false" outlineLevel="0" collapsed="false">
      <c r="A31" s="8" t="s">
        <v>453</v>
      </c>
      <c r="B31" s="9" t="s">
        <v>454</v>
      </c>
      <c r="C31" s="8" t="s">
        <v>160</v>
      </c>
      <c r="D31" s="18" t="str">
        <f aca="false">IF($D$30&gt;=$D$29,"CUMPLE","NO CUMPLE")</f>
        <v>CUMPLE</v>
      </c>
      <c r="E31" s="8"/>
      <c r="F31" s="11"/>
    </row>
  </sheetData>
  <mergeCells count="6">
    <mergeCell ref="A1:F1"/>
    <mergeCell ref="A2:F2"/>
    <mergeCell ref="A3:F3"/>
    <mergeCell ref="A6:F6"/>
    <mergeCell ref="A17:F17"/>
    <mergeCell ref="A23:F23"/>
  </mergeCells>
  <conditionalFormatting sqref="D14">
    <cfRule type="cellIs" priority="2" operator="equal" aboveAverage="0" equalAverage="0" bottom="0" percent="0" rank="0" text="" dxfId="0">
      <formula>"CUMPLE"</formula>
    </cfRule>
    <cfRule type="cellIs" priority="3" operator="equal" aboveAverage="0" equalAverage="0" bottom="0" percent="0" rank="0" text="" dxfId="1">
      <formula>"NO CUMPLE"</formula>
    </cfRule>
  </conditionalFormatting>
  <conditionalFormatting sqref="D15">
    <cfRule type="cellIs" priority="4" operator="equal" aboveAverage="0" equalAverage="0" bottom="0" percent="0" rank="0" text="" dxfId="0">
      <formula>"CUMPLE"</formula>
    </cfRule>
    <cfRule type="cellIs" priority="5" operator="equal" aboveAverage="0" equalAverage="0" bottom="0" percent="0" rank="0" text="" dxfId="1">
      <formula>"NO CUMPLE"</formula>
    </cfRule>
  </conditionalFormatting>
  <conditionalFormatting sqref="D31">
    <cfRule type="cellIs" priority="6" operator="equal" aboveAverage="0" equalAverage="0" bottom="0" percent="0" rank="0" text="" dxfId="0">
      <formula>"CUMPLE"</formula>
    </cfRule>
    <cfRule type="cellIs" priority="7" operator="equal" aboveAverage="0" equalAverage="0" bottom="0" percent="0" rank="0" text="" dxfId="1">
      <formula>"NO CUMPLE"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455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6" customFormat="false" ht="15" hidden="false" customHeight="false" outlineLevel="0" collapsed="false">
      <c r="A6" s="6" t="s">
        <v>456</v>
      </c>
      <c r="B6" s="6"/>
      <c r="C6" s="6"/>
      <c r="D6" s="6"/>
      <c r="E6" s="6"/>
      <c r="F6" s="6"/>
    </row>
    <row r="7" customFormat="false" ht="15" hidden="false" customHeight="false" outlineLevel="0" collapsed="false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customFormat="false" ht="15" hidden="false" customHeight="false" outlineLevel="0" collapsed="false">
      <c r="A8" s="8" t="s">
        <v>12</v>
      </c>
      <c r="B8" s="9" t="s">
        <v>457</v>
      </c>
      <c r="C8" s="8"/>
      <c r="D8" s="48" t="str">
        <f aca="false">Poblacion!$D$26</f>
        <v>BAJO</v>
      </c>
      <c r="E8" s="8"/>
      <c r="F8" s="11"/>
    </row>
    <row r="9" customFormat="false" ht="15" hidden="false" customHeight="false" outlineLevel="0" collapsed="false">
      <c r="A9" s="8" t="s">
        <v>15</v>
      </c>
      <c r="B9" s="9" t="s">
        <v>458</v>
      </c>
      <c r="C9" s="8"/>
      <c r="D9" s="31" t="n">
        <f aca="false">Poblacion!$D$19</f>
        <v>11</v>
      </c>
      <c r="E9" s="8" t="s">
        <v>107</v>
      </c>
      <c r="F9" s="11"/>
    </row>
    <row r="10" customFormat="false" ht="15" hidden="false" customHeight="false" outlineLevel="0" collapsed="false">
      <c r="A10" s="8" t="s">
        <v>18</v>
      </c>
      <c r="B10" s="9" t="s">
        <v>126</v>
      </c>
      <c r="C10" s="8"/>
      <c r="D10" s="31" t="n">
        <f aca="false">Poblacion!$D$20</f>
        <v>2</v>
      </c>
      <c r="E10" s="8" t="s">
        <v>111</v>
      </c>
      <c r="F10" s="11"/>
    </row>
    <row r="11" customFormat="false" ht="15" hidden="false" customHeight="false" outlineLevel="0" collapsed="false">
      <c r="A11" s="8" t="s">
        <v>22</v>
      </c>
      <c r="B11" s="9" t="s">
        <v>459</v>
      </c>
      <c r="C11" s="8"/>
      <c r="D11" s="31" t="n">
        <f aca="false">Poblacion!$D$21</f>
        <v>13</v>
      </c>
      <c r="E11" s="8" t="s">
        <v>107</v>
      </c>
      <c r="F11" s="11"/>
    </row>
    <row r="12" customFormat="false" ht="15" hidden="false" customHeight="false" outlineLevel="0" collapsed="false">
      <c r="A12" s="8" t="s">
        <v>27</v>
      </c>
      <c r="B12" s="9" t="s">
        <v>460</v>
      </c>
      <c r="C12" s="8"/>
      <c r="D12" s="49" t="n">
        <f aca="false">Poblacion!$D$38</f>
        <v>130</v>
      </c>
      <c r="E12" s="8" t="s">
        <v>149</v>
      </c>
      <c r="F12" s="11"/>
    </row>
    <row r="13" customFormat="false" ht="15" hidden="false" customHeight="false" outlineLevel="0" collapsed="false">
      <c r="A13" s="8" t="s">
        <v>32</v>
      </c>
      <c r="B13" s="9" t="s">
        <v>461</v>
      </c>
      <c r="C13" s="8"/>
      <c r="D13" s="50" t="n">
        <f aca="false">Poblacion!$E$47</f>
        <v>1530</v>
      </c>
      <c r="E13" s="8" t="s">
        <v>215</v>
      </c>
      <c r="F13" s="11"/>
    </row>
    <row r="14" customFormat="false" ht="15" hidden="false" customHeight="false" outlineLevel="0" collapsed="false">
      <c r="A14" s="8" t="s">
        <v>36</v>
      </c>
      <c r="B14" s="9" t="s">
        <v>462</v>
      </c>
      <c r="C14" s="8"/>
      <c r="D14" s="51" t="n">
        <f aca="false">Dotacion_Caudales!$D$26</f>
        <v>0.0305555555555556</v>
      </c>
      <c r="E14" s="8" t="s">
        <v>230</v>
      </c>
      <c r="F14" s="11"/>
    </row>
    <row r="15" customFormat="false" ht="15" hidden="false" customHeight="false" outlineLevel="0" collapsed="false">
      <c r="A15" s="8" t="s">
        <v>40</v>
      </c>
      <c r="B15" s="9" t="s">
        <v>463</v>
      </c>
      <c r="C15" s="8"/>
      <c r="D15" s="51" t="n">
        <f aca="false">Dotacion_Caudales!$D$29</f>
        <v>0.0397222222222222</v>
      </c>
      <c r="E15" s="8" t="s">
        <v>230</v>
      </c>
      <c r="F15" s="11"/>
    </row>
    <row r="16" customFormat="false" ht="15" hidden="false" customHeight="false" outlineLevel="0" collapsed="false">
      <c r="A16" s="8" t="s">
        <v>44</v>
      </c>
      <c r="B16" s="9" t="s">
        <v>464</v>
      </c>
      <c r="C16" s="8"/>
      <c r="D16" s="51" t="n">
        <f aca="false">Dotacion_Caudales!$D$31</f>
        <v>0.0635555555555556</v>
      </c>
      <c r="E16" s="8" t="s">
        <v>230</v>
      </c>
      <c r="F16" s="11"/>
    </row>
    <row r="17" customFormat="false" ht="15" hidden="false" customHeight="false" outlineLevel="0" collapsed="false">
      <c r="A17" s="8" t="s">
        <v>465</v>
      </c>
      <c r="B17" s="9" t="s">
        <v>466</v>
      </c>
      <c r="C17" s="8"/>
      <c r="D17" s="50" t="n">
        <f aca="false">Almacenamiento!$D$12</f>
        <v>2130</v>
      </c>
      <c r="E17" s="8" t="s">
        <v>259</v>
      </c>
      <c r="F17" s="11"/>
    </row>
    <row r="18" customFormat="false" ht="15" hidden="false" customHeight="false" outlineLevel="0" collapsed="false">
      <c r="A18" s="8" t="s">
        <v>467</v>
      </c>
      <c r="B18" s="9" t="s">
        <v>468</v>
      </c>
      <c r="C18" s="8"/>
      <c r="D18" s="50" t="n">
        <f aca="false">Almacenamiento!$D$18</f>
        <v>4000</v>
      </c>
      <c r="E18" s="8" t="s">
        <v>259</v>
      </c>
      <c r="F18" s="11"/>
    </row>
    <row r="19" customFormat="false" ht="15" hidden="false" customHeight="false" outlineLevel="0" collapsed="false">
      <c r="A19" s="8" t="s">
        <v>469</v>
      </c>
      <c r="B19" s="9" t="s">
        <v>470</v>
      </c>
      <c r="C19" s="8"/>
      <c r="D19" s="31" t="n">
        <f aca="false">UC_Hunter!$D$18</f>
        <v>29</v>
      </c>
      <c r="E19" s="8" t="s">
        <v>471</v>
      </c>
      <c r="F19" s="11"/>
    </row>
    <row r="20" customFormat="false" ht="15" hidden="false" customHeight="false" outlineLevel="0" collapsed="false">
      <c r="A20" s="8" t="s">
        <v>472</v>
      </c>
      <c r="B20" s="9" t="s">
        <v>473</v>
      </c>
      <c r="C20" s="8"/>
      <c r="D20" s="47" t="n">
        <f aca="false">UC_Hunter!$D$20</f>
        <v>1.447289188</v>
      </c>
      <c r="E20" s="8" t="s">
        <v>230</v>
      </c>
      <c r="F20" s="11"/>
    </row>
    <row r="21" customFormat="false" ht="15" hidden="false" customHeight="false" outlineLevel="0" collapsed="false">
      <c r="A21" s="8" t="s">
        <v>474</v>
      </c>
      <c r="B21" s="9" t="s">
        <v>475</v>
      </c>
      <c r="C21" s="8"/>
      <c r="D21" s="52" t="n">
        <f aca="false">Tramos!$C$24</f>
        <v>8.22200444191233</v>
      </c>
      <c r="E21" s="8" t="s">
        <v>318</v>
      </c>
      <c r="F21" s="11"/>
    </row>
    <row r="22" customFormat="false" ht="15" hidden="false" customHeight="false" outlineLevel="0" collapsed="false">
      <c r="A22" s="8" t="s">
        <v>476</v>
      </c>
      <c r="B22" s="9" t="s">
        <v>477</v>
      </c>
      <c r="C22" s="8"/>
      <c r="D22" s="48" t="str">
        <f aca="false">Acometida_Medidor!$D$13</f>
        <v>3/4"</v>
      </c>
      <c r="E22" s="8"/>
      <c r="F22" s="11"/>
    </row>
    <row r="23" customFormat="false" ht="15" hidden="false" customHeight="false" outlineLevel="0" collapsed="false">
      <c r="A23" s="8" t="s">
        <v>478</v>
      </c>
      <c r="B23" s="9" t="s">
        <v>392</v>
      </c>
      <c r="C23" s="8"/>
      <c r="D23" s="47" t="n">
        <f aca="false">Acometida_Medidor!$D$18</f>
        <v>0.185185185185185</v>
      </c>
      <c r="E23" s="8" t="s">
        <v>230</v>
      </c>
      <c r="F23" s="11"/>
    </row>
    <row r="24" customFormat="false" ht="15" hidden="false" customHeight="false" outlineLevel="0" collapsed="false">
      <c r="A24" s="8" t="s">
        <v>479</v>
      </c>
      <c r="B24" s="9" t="s">
        <v>480</v>
      </c>
      <c r="C24" s="8"/>
      <c r="D24" s="52" t="n">
        <f aca="false">Equipo_Presion!$D$13</f>
        <v>30.62</v>
      </c>
      <c r="E24" s="8" t="s">
        <v>280</v>
      </c>
      <c r="F24" s="11"/>
    </row>
    <row r="25" customFormat="false" ht="15" hidden="false" customHeight="false" outlineLevel="0" collapsed="false">
      <c r="A25" s="8" t="s">
        <v>481</v>
      </c>
      <c r="B25" s="9" t="s">
        <v>482</v>
      </c>
      <c r="C25" s="8"/>
      <c r="D25" s="52" t="n">
        <f aca="false">Equipo_Presion!$D$21</f>
        <v>1.5</v>
      </c>
      <c r="E25" s="8" t="s">
        <v>426</v>
      </c>
      <c r="F25" s="11"/>
    </row>
    <row r="26" customFormat="false" ht="15" hidden="false" customHeight="false" outlineLevel="0" collapsed="false">
      <c r="A26" s="8" t="s">
        <v>483</v>
      </c>
      <c r="B26" s="9" t="s">
        <v>484</v>
      </c>
      <c r="C26" s="8"/>
      <c r="D26" s="31" t="n">
        <f aca="false">Equipo_Presion!$D$29</f>
        <v>227.572680558373</v>
      </c>
      <c r="E26" s="8" t="s">
        <v>259</v>
      </c>
      <c r="F26" s="11"/>
    </row>
    <row r="28" customFormat="false" ht="15" hidden="false" customHeight="false" outlineLevel="0" collapsed="false">
      <c r="A28" s="6" t="s">
        <v>485</v>
      </c>
      <c r="B28" s="6"/>
      <c r="C28" s="6"/>
      <c r="D28" s="6"/>
      <c r="E28" s="6"/>
      <c r="F28" s="6"/>
    </row>
    <row r="29" customFormat="false" ht="15" hidden="false" customHeight="false" outlineLevel="0" collapsed="false">
      <c r="A29" s="7" t="s">
        <v>6</v>
      </c>
      <c r="B29" s="7" t="s">
        <v>486</v>
      </c>
      <c r="C29" s="7" t="s">
        <v>487</v>
      </c>
      <c r="D29" s="7" t="s">
        <v>488</v>
      </c>
      <c r="E29" s="7"/>
      <c r="F29" s="7" t="s">
        <v>489</v>
      </c>
    </row>
    <row r="30" customFormat="false" ht="15" hidden="false" customHeight="false" outlineLevel="0" collapsed="false">
      <c r="A30" s="8" t="n">
        <v>1</v>
      </c>
      <c r="B30" s="9" t="s">
        <v>159</v>
      </c>
      <c r="C30" s="8" t="s">
        <v>490</v>
      </c>
      <c r="D30" s="18" t="str">
        <f aca="false">Poblacion!$D$34</f>
        <v>CUMPLE</v>
      </c>
      <c r="E30" s="8"/>
      <c r="F30" s="9"/>
    </row>
    <row r="31" customFormat="false" ht="23.85" hidden="false" customHeight="false" outlineLevel="0" collapsed="false">
      <c r="A31" s="8" t="n">
        <v>2</v>
      </c>
      <c r="B31" s="9" t="s">
        <v>205</v>
      </c>
      <c r="C31" s="8" t="s">
        <v>491</v>
      </c>
      <c r="D31" s="18" t="str">
        <f aca="false">Dotacion_Caudales!$D$10</f>
        <v>CUMPLE</v>
      </c>
      <c r="E31" s="8"/>
      <c r="F31" s="9"/>
    </row>
    <row r="32" customFormat="false" ht="23.85" hidden="false" customHeight="false" outlineLevel="0" collapsed="false">
      <c r="A32" s="8" t="n">
        <v>3</v>
      </c>
      <c r="B32" s="9" t="s">
        <v>270</v>
      </c>
      <c r="C32" s="8" t="s">
        <v>492</v>
      </c>
      <c r="D32" s="18" t="str">
        <f aca="false">Almacenamiento!$D$19</f>
        <v>CUMPLE</v>
      </c>
      <c r="E32" s="8"/>
      <c r="F32" s="9"/>
    </row>
    <row r="33" customFormat="false" ht="15" hidden="false" customHeight="false" outlineLevel="0" collapsed="false">
      <c r="A33" s="8" t="n">
        <v>4</v>
      </c>
      <c r="B33" s="9" t="s">
        <v>355</v>
      </c>
      <c r="C33" s="8" t="s">
        <v>493</v>
      </c>
      <c r="D33" s="18" t="str">
        <f aca="false">Tramos!$C$27</f>
        <v>CUMPLE</v>
      </c>
      <c r="E33" s="8"/>
      <c r="F33" s="9"/>
    </row>
    <row r="34" customFormat="false" ht="15" hidden="false" customHeight="false" outlineLevel="0" collapsed="false">
      <c r="A34" s="8" t="n">
        <v>5</v>
      </c>
      <c r="B34" s="9" t="s">
        <v>356</v>
      </c>
      <c r="C34" s="8" t="s">
        <v>493</v>
      </c>
      <c r="D34" s="18" t="str">
        <f aca="false">Tramos!$C$28</f>
        <v>CUMPLE</v>
      </c>
      <c r="E34" s="8"/>
      <c r="F34" s="9"/>
    </row>
    <row r="35" customFormat="false" ht="23.85" hidden="false" customHeight="false" outlineLevel="0" collapsed="false">
      <c r="A35" s="8" t="n">
        <v>6</v>
      </c>
      <c r="B35" s="9" t="s">
        <v>385</v>
      </c>
      <c r="C35" s="8" t="s">
        <v>494</v>
      </c>
      <c r="D35" s="18" t="str">
        <f aca="false">Acometida_Medidor!$D$21</f>
        <v>CUMPLE</v>
      </c>
      <c r="E35" s="8"/>
      <c r="F35" s="9"/>
    </row>
    <row r="36" customFormat="false" ht="23.85" hidden="false" customHeight="false" outlineLevel="0" collapsed="false">
      <c r="A36" s="8" t="n">
        <v>7</v>
      </c>
      <c r="B36" s="9" t="s">
        <v>390</v>
      </c>
      <c r="C36" s="8" t="s">
        <v>494</v>
      </c>
      <c r="D36" s="18" t="str">
        <f aca="false">Acometida_Medidor!$D$24</f>
        <v>CUMPLE</v>
      </c>
      <c r="E36" s="8"/>
      <c r="F36" s="9"/>
    </row>
    <row r="37" customFormat="false" ht="23.85" hidden="false" customHeight="false" outlineLevel="0" collapsed="false">
      <c r="A37" s="8" t="n">
        <v>8</v>
      </c>
      <c r="B37" s="9" t="s">
        <v>397</v>
      </c>
      <c r="C37" s="8" t="s">
        <v>494</v>
      </c>
      <c r="D37" s="18" t="str">
        <f aca="false">Acometida_Medidor!$D$30</f>
        <v>CUMPLE</v>
      </c>
      <c r="E37" s="8"/>
      <c r="F37" s="9"/>
    </row>
    <row r="38" customFormat="false" ht="23.85" hidden="false" customHeight="false" outlineLevel="0" collapsed="false">
      <c r="A38" s="8" t="n">
        <v>9</v>
      </c>
      <c r="B38" s="9" t="s">
        <v>416</v>
      </c>
      <c r="C38" s="8" t="s">
        <v>495</v>
      </c>
      <c r="D38" s="18" t="str">
        <f aca="false">Equipo_Presion!$D$14</f>
        <v>CUMPLE</v>
      </c>
      <c r="E38" s="8"/>
      <c r="F38" s="9"/>
    </row>
    <row r="39" customFormat="false" ht="23.85" hidden="false" customHeight="false" outlineLevel="0" collapsed="false">
      <c r="A39" s="8" t="n">
        <v>10</v>
      </c>
      <c r="B39" s="9" t="s">
        <v>418</v>
      </c>
      <c r="C39" s="8" t="s">
        <v>495</v>
      </c>
      <c r="D39" s="18" t="str">
        <f aca="false">Equipo_Presion!$D$15</f>
        <v>CUMPLE</v>
      </c>
      <c r="E39" s="8"/>
      <c r="F39" s="9"/>
    </row>
    <row r="40" customFormat="false" ht="23.85" hidden="false" customHeight="false" outlineLevel="0" collapsed="false">
      <c r="A40" s="8" t="n">
        <v>11</v>
      </c>
      <c r="B40" s="9" t="s">
        <v>454</v>
      </c>
      <c r="C40" s="8" t="s">
        <v>495</v>
      </c>
      <c r="D40" s="18" t="str">
        <f aca="false">Equipo_Presion!$D$31</f>
        <v>CUMPLE</v>
      </c>
      <c r="E40" s="8"/>
      <c r="F40" s="9"/>
    </row>
    <row r="42" customFormat="false" ht="15" hidden="false" customHeight="false" outlineLevel="0" collapsed="false">
      <c r="A42" s="8" t="s">
        <v>48</v>
      </c>
      <c r="B42" s="9" t="s">
        <v>496</v>
      </c>
      <c r="C42" s="8" t="s">
        <v>142</v>
      </c>
      <c r="D42" s="16" t="n">
        <f aca="false">COUNTIF(D30:D40,"NO CUMPLE")</f>
        <v>0</v>
      </c>
      <c r="E42" s="8"/>
      <c r="F42" s="11" t="s">
        <v>497</v>
      </c>
    </row>
    <row r="43" customFormat="false" ht="15" hidden="false" customHeight="false" outlineLevel="0" collapsed="false">
      <c r="A43" s="8" t="s">
        <v>52</v>
      </c>
      <c r="B43" s="9" t="s">
        <v>498</v>
      </c>
      <c r="C43" s="8" t="s">
        <v>160</v>
      </c>
      <c r="D43" s="18" t="str">
        <f aca="false">IF($D$42=0,"CUMPLE","NO CUMPLE")</f>
        <v>CUMPLE</v>
      </c>
      <c r="E43" s="8"/>
      <c r="F43" s="11" t="s">
        <v>499</v>
      </c>
    </row>
  </sheetData>
  <mergeCells count="5">
    <mergeCell ref="A1:F1"/>
    <mergeCell ref="A2:F2"/>
    <mergeCell ref="A3:F3"/>
    <mergeCell ref="A6:F6"/>
    <mergeCell ref="A28:F28"/>
  </mergeCells>
  <conditionalFormatting sqref="D30:D40">
    <cfRule type="cellIs" priority="2" operator="equal" aboveAverage="0" equalAverage="0" bottom="0" percent="0" rank="0" text="" dxfId="0">
      <formula>"CUMPLE"</formula>
    </cfRule>
    <cfRule type="cellIs" priority="3" operator="equal" aboveAverage="0" equalAverage="0" bottom="0" percent="0" rank="0" text="" dxfId="1">
      <formula>"NO CUMPLE"</formula>
    </cfRule>
  </conditionalFormatting>
  <conditionalFormatting sqref="D43">
    <cfRule type="cellIs" priority="4" operator="equal" aboveAverage="0" equalAverage="0" bottom="0" percent="0" rank="0" text="" dxfId="0">
      <formula>"CUMPLE"</formula>
    </cfRule>
    <cfRule type="cellIs" priority="5" operator="equal" aboveAverage="0" equalAverage="0" bottom="0" percent="0" rank="0" text="" dxfId="1">
      <formula>"NO CUMPLE"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500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6" customFormat="false" ht="15" hidden="false" customHeight="false" outlineLevel="0" collapsed="false">
      <c r="A6" s="6" t="s">
        <v>501</v>
      </c>
      <c r="B6" s="6"/>
      <c r="C6" s="6"/>
      <c r="D6" s="6"/>
      <c r="E6" s="6"/>
      <c r="F6" s="6"/>
      <c r="G6" s="6"/>
      <c r="H6" s="6"/>
      <c r="I6" s="6"/>
    </row>
    <row r="7" customFormat="false" ht="12.75" hidden="false" customHeight="true" outlineLevel="0" collapsed="false">
      <c r="B7" s="4" t="s">
        <v>502</v>
      </c>
      <c r="C7" s="4"/>
      <c r="D7" s="4"/>
      <c r="E7" s="4"/>
      <c r="F7" s="4"/>
      <c r="G7" s="4"/>
      <c r="H7" s="4"/>
      <c r="I7" s="4"/>
    </row>
    <row r="8" customFormat="false" ht="39.75" hidden="false" customHeight="true" outlineLevel="0" collapsed="false">
      <c r="A8" s="7" t="s">
        <v>503</v>
      </c>
      <c r="B8" s="7" t="s">
        <v>504</v>
      </c>
      <c r="C8" s="7" t="s">
        <v>325</v>
      </c>
    </row>
    <row r="9" customFormat="false" ht="15" hidden="false" customHeight="false" outlineLevel="0" collapsed="false">
      <c r="A9" s="9" t="n">
        <v>1</v>
      </c>
      <c r="B9" s="20" t="n">
        <v>3</v>
      </c>
      <c r="C9" s="40" t="n">
        <f aca="false">B9*0.0630902</f>
        <v>0.1892706</v>
      </c>
    </row>
    <row r="10" customFormat="false" ht="15" hidden="false" customHeight="false" outlineLevel="0" collapsed="false">
      <c r="A10" s="9" t="n">
        <v>2</v>
      </c>
      <c r="B10" s="20" t="n">
        <v>5</v>
      </c>
      <c r="C10" s="40" t="n">
        <f aca="false">B10*0.0630902</f>
        <v>0.315451</v>
      </c>
    </row>
    <row r="11" customFormat="false" ht="15" hidden="false" customHeight="false" outlineLevel="0" collapsed="false">
      <c r="A11" s="9" t="n">
        <v>3</v>
      </c>
      <c r="B11" s="20" t="n">
        <v>6.5</v>
      </c>
      <c r="C11" s="40" t="n">
        <f aca="false">B11*0.0630902</f>
        <v>0.4100863</v>
      </c>
    </row>
    <row r="12" customFormat="false" ht="15" hidden="false" customHeight="false" outlineLevel="0" collapsed="false">
      <c r="A12" s="9" t="n">
        <v>4</v>
      </c>
      <c r="B12" s="20" t="n">
        <v>8</v>
      </c>
      <c r="C12" s="40" t="n">
        <f aca="false">B12*0.0630902</f>
        <v>0.5047216</v>
      </c>
    </row>
    <row r="13" customFormat="false" ht="15" hidden="false" customHeight="false" outlineLevel="0" collapsed="false">
      <c r="A13" s="9" t="n">
        <v>5</v>
      </c>
      <c r="B13" s="20" t="n">
        <v>9.4</v>
      </c>
      <c r="C13" s="40" t="n">
        <f aca="false">B13*0.0630902</f>
        <v>0.59304788</v>
      </c>
    </row>
    <row r="14" customFormat="false" ht="15" hidden="false" customHeight="false" outlineLevel="0" collapsed="false">
      <c r="A14" s="9" t="n">
        <v>6</v>
      </c>
      <c r="B14" s="20" t="n">
        <v>10.7</v>
      </c>
      <c r="C14" s="40" t="n">
        <f aca="false">B14*0.0630902</f>
        <v>0.67506514</v>
      </c>
    </row>
    <row r="15" customFormat="false" ht="15" hidden="false" customHeight="false" outlineLevel="0" collapsed="false">
      <c r="A15" s="9" t="n">
        <v>7</v>
      </c>
      <c r="B15" s="20" t="n">
        <v>11.8</v>
      </c>
      <c r="C15" s="40" t="n">
        <f aca="false">B15*0.0630902</f>
        <v>0.74446436</v>
      </c>
    </row>
    <row r="16" customFormat="false" ht="15" hidden="false" customHeight="false" outlineLevel="0" collapsed="false">
      <c r="A16" s="9" t="n">
        <v>8</v>
      </c>
      <c r="B16" s="20" t="n">
        <v>12.8</v>
      </c>
      <c r="C16" s="40" t="n">
        <f aca="false">B16*0.0630902</f>
        <v>0.80755456</v>
      </c>
    </row>
    <row r="17" customFormat="false" ht="15" hidden="false" customHeight="false" outlineLevel="0" collapsed="false">
      <c r="A17" s="9" t="n">
        <v>9</v>
      </c>
      <c r="B17" s="20" t="n">
        <v>13.7</v>
      </c>
      <c r="C17" s="40" t="n">
        <f aca="false">B17*0.0630902</f>
        <v>0.86433574</v>
      </c>
    </row>
    <row r="18" customFormat="false" ht="15" hidden="false" customHeight="false" outlineLevel="0" collapsed="false">
      <c r="A18" s="9" t="n">
        <v>10</v>
      </c>
      <c r="B18" s="20" t="n">
        <v>14.6</v>
      </c>
      <c r="C18" s="40" t="n">
        <f aca="false">B18*0.0630902</f>
        <v>0.92111692</v>
      </c>
    </row>
    <row r="19" customFormat="false" ht="15" hidden="false" customHeight="false" outlineLevel="0" collapsed="false">
      <c r="A19" s="9" t="n">
        <v>11</v>
      </c>
      <c r="B19" s="20" t="n">
        <v>15.4</v>
      </c>
      <c r="C19" s="40" t="n">
        <f aca="false">B19*0.0630902</f>
        <v>0.97158908</v>
      </c>
    </row>
    <row r="20" customFormat="false" ht="15" hidden="false" customHeight="false" outlineLevel="0" collapsed="false">
      <c r="A20" s="9" t="n">
        <v>12</v>
      </c>
      <c r="B20" s="20" t="n">
        <v>16</v>
      </c>
      <c r="C20" s="40" t="n">
        <f aca="false">B20*0.0630902</f>
        <v>1.0094432</v>
      </c>
    </row>
    <row r="21" customFormat="false" ht="15" hidden="false" customHeight="false" outlineLevel="0" collapsed="false">
      <c r="A21" s="9" t="n">
        <v>13</v>
      </c>
      <c r="B21" s="20" t="n">
        <v>16.5</v>
      </c>
      <c r="C21" s="40" t="n">
        <f aca="false">B21*0.0630902</f>
        <v>1.0409883</v>
      </c>
    </row>
    <row r="22" customFormat="false" ht="15" hidden="false" customHeight="false" outlineLevel="0" collapsed="false">
      <c r="A22" s="9" t="n">
        <v>14</v>
      </c>
      <c r="B22" s="20" t="n">
        <v>17</v>
      </c>
      <c r="C22" s="40" t="n">
        <f aca="false">B22*0.0630902</f>
        <v>1.0725334</v>
      </c>
    </row>
    <row r="23" customFormat="false" ht="15" hidden="false" customHeight="false" outlineLevel="0" collapsed="false">
      <c r="A23" s="9" t="n">
        <v>15</v>
      </c>
      <c r="B23" s="20" t="n">
        <v>17.5</v>
      </c>
      <c r="C23" s="40" t="n">
        <f aca="false">B23*0.0630902</f>
        <v>1.1040785</v>
      </c>
    </row>
    <row r="24" customFormat="false" ht="15" hidden="false" customHeight="false" outlineLevel="0" collapsed="false">
      <c r="A24" s="9" t="n">
        <v>16</v>
      </c>
      <c r="B24" s="20" t="n">
        <v>18</v>
      </c>
      <c r="C24" s="40" t="n">
        <f aca="false">B24*0.0630902</f>
        <v>1.1356236</v>
      </c>
    </row>
    <row r="25" customFormat="false" ht="15" hidden="false" customHeight="false" outlineLevel="0" collapsed="false">
      <c r="A25" s="9" t="n">
        <v>17</v>
      </c>
      <c r="B25" s="20" t="n">
        <v>18.4</v>
      </c>
      <c r="C25" s="40" t="n">
        <f aca="false">B25*0.0630902</f>
        <v>1.16085968</v>
      </c>
    </row>
    <row r="26" customFormat="false" ht="15" hidden="false" customHeight="false" outlineLevel="0" collapsed="false">
      <c r="A26" s="9" t="n">
        <v>18</v>
      </c>
      <c r="B26" s="20" t="n">
        <v>18.8</v>
      </c>
      <c r="C26" s="40" t="n">
        <f aca="false">B26*0.0630902</f>
        <v>1.18609576</v>
      </c>
    </row>
    <row r="27" customFormat="false" ht="15" hidden="false" customHeight="false" outlineLevel="0" collapsed="false">
      <c r="A27" s="9" t="n">
        <v>19</v>
      </c>
      <c r="B27" s="20" t="n">
        <v>19.2</v>
      </c>
      <c r="C27" s="40" t="n">
        <f aca="false">B27*0.0630902</f>
        <v>1.21133184</v>
      </c>
    </row>
    <row r="28" customFormat="false" ht="15" hidden="false" customHeight="false" outlineLevel="0" collapsed="false">
      <c r="A28" s="9" t="n">
        <v>20</v>
      </c>
      <c r="B28" s="20" t="n">
        <v>19.6</v>
      </c>
      <c r="C28" s="40" t="n">
        <f aca="false">B28*0.0630902</f>
        <v>1.23656792</v>
      </c>
    </row>
    <row r="29" customFormat="false" ht="15" hidden="false" customHeight="false" outlineLevel="0" collapsed="false">
      <c r="A29" s="9" t="n">
        <v>25</v>
      </c>
      <c r="B29" s="20" t="n">
        <v>21.5</v>
      </c>
      <c r="C29" s="40" t="n">
        <f aca="false">B29*0.0630902</f>
        <v>1.3564393</v>
      </c>
    </row>
    <row r="30" customFormat="false" ht="15" hidden="false" customHeight="false" outlineLevel="0" collapsed="false">
      <c r="A30" s="9" t="n">
        <v>30</v>
      </c>
      <c r="B30" s="20" t="n">
        <v>23.3</v>
      </c>
      <c r="C30" s="40" t="n">
        <f aca="false">B30*0.0630902</f>
        <v>1.47000166</v>
      </c>
    </row>
    <row r="31" customFormat="false" ht="15" hidden="false" customHeight="false" outlineLevel="0" collapsed="false">
      <c r="A31" s="9" t="n">
        <v>35</v>
      </c>
      <c r="B31" s="20" t="n">
        <v>24.9</v>
      </c>
      <c r="C31" s="40" t="n">
        <f aca="false">B31*0.0630902</f>
        <v>1.57094598</v>
      </c>
    </row>
    <row r="32" customFormat="false" ht="15" hidden="false" customHeight="false" outlineLevel="0" collapsed="false">
      <c r="A32" s="9" t="n">
        <v>40</v>
      </c>
      <c r="B32" s="20" t="n">
        <v>26.3</v>
      </c>
      <c r="C32" s="40" t="n">
        <f aca="false">B32*0.0630902</f>
        <v>1.65927226</v>
      </c>
    </row>
    <row r="33" customFormat="false" ht="15" hidden="false" customHeight="false" outlineLevel="0" collapsed="false">
      <c r="A33" s="9" t="n">
        <v>45</v>
      </c>
      <c r="B33" s="20" t="n">
        <v>27.7</v>
      </c>
      <c r="C33" s="40" t="n">
        <f aca="false">B33*0.0630902</f>
        <v>1.74759854</v>
      </c>
    </row>
    <row r="34" customFormat="false" ht="15" hidden="false" customHeight="false" outlineLevel="0" collapsed="false">
      <c r="A34" s="9" t="n">
        <v>50</v>
      </c>
      <c r="B34" s="20" t="n">
        <v>29.1</v>
      </c>
      <c r="C34" s="40" t="n">
        <f aca="false">B34*0.0630902</f>
        <v>1.83592482</v>
      </c>
    </row>
    <row r="35" customFormat="false" ht="15" hidden="false" customHeight="false" outlineLevel="0" collapsed="false">
      <c r="A35" s="9" t="n">
        <v>60</v>
      </c>
      <c r="B35" s="20" t="n">
        <v>32</v>
      </c>
      <c r="C35" s="40" t="n">
        <f aca="false">B35*0.0630902</f>
        <v>2.0188864</v>
      </c>
    </row>
    <row r="36" customFormat="false" ht="15" hidden="false" customHeight="false" outlineLevel="0" collapsed="false">
      <c r="A36" s="9" t="n">
        <v>70</v>
      </c>
      <c r="B36" s="20" t="n">
        <v>35</v>
      </c>
      <c r="C36" s="40" t="n">
        <f aca="false">B36*0.0630902</f>
        <v>2.208157</v>
      </c>
    </row>
    <row r="37" customFormat="false" ht="15" hidden="false" customHeight="false" outlineLevel="0" collapsed="false">
      <c r="A37" s="9" t="n">
        <v>80</v>
      </c>
      <c r="B37" s="20" t="n">
        <v>38</v>
      </c>
      <c r="C37" s="40" t="n">
        <f aca="false">B37*0.0630902</f>
        <v>2.3974276</v>
      </c>
    </row>
    <row r="38" customFormat="false" ht="15" hidden="false" customHeight="false" outlineLevel="0" collapsed="false">
      <c r="A38" s="9" t="n">
        <v>90</v>
      </c>
      <c r="B38" s="20" t="n">
        <v>41</v>
      </c>
      <c r="C38" s="40" t="n">
        <f aca="false">B38*0.0630902</f>
        <v>2.5866982</v>
      </c>
    </row>
    <row r="39" customFormat="false" ht="15" hidden="false" customHeight="false" outlineLevel="0" collapsed="false">
      <c r="A39" s="9" t="n">
        <v>100</v>
      </c>
      <c r="B39" s="20" t="n">
        <v>43.5</v>
      </c>
      <c r="C39" s="40" t="n">
        <f aca="false">B39*0.0630902</f>
        <v>2.7444237</v>
      </c>
    </row>
    <row r="40" customFormat="false" ht="15" hidden="false" customHeight="false" outlineLevel="0" collapsed="false">
      <c r="A40" s="9" t="n">
        <v>120</v>
      </c>
      <c r="B40" s="20" t="n">
        <v>48</v>
      </c>
      <c r="C40" s="40" t="n">
        <f aca="false">B40*0.0630902</f>
        <v>3.0283296</v>
      </c>
    </row>
    <row r="41" customFormat="false" ht="15" hidden="false" customHeight="false" outlineLevel="0" collapsed="false">
      <c r="A41" s="9" t="n">
        <v>140</v>
      </c>
      <c r="B41" s="20" t="n">
        <v>52.5</v>
      </c>
      <c r="C41" s="40" t="n">
        <f aca="false">B41*0.0630902</f>
        <v>3.3122355</v>
      </c>
    </row>
    <row r="42" customFormat="false" ht="15" hidden="false" customHeight="false" outlineLevel="0" collapsed="false">
      <c r="A42" s="9" t="n">
        <v>160</v>
      </c>
      <c r="B42" s="20" t="n">
        <v>57</v>
      </c>
      <c r="C42" s="40" t="n">
        <f aca="false">B42*0.0630902</f>
        <v>3.5961414</v>
      </c>
    </row>
    <row r="43" customFormat="false" ht="15" hidden="false" customHeight="false" outlineLevel="0" collapsed="false">
      <c r="A43" s="9" t="n">
        <v>180</v>
      </c>
      <c r="B43" s="20" t="n">
        <v>61</v>
      </c>
      <c r="C43" s="40" t="n">
        <f aca="false">B43*0.0630902</f>
        <v>3.8485022</v>
      </c>
    </row>
    <row r="44" customFormat="false" ht="15" hidden="false" customHeight="false" outlineLevel="0" collapsed="false">
      <c r="A44" s="9" t="n">
        <v>200</v>
      </c>
      <c r="B44" s="20" t="n">
        <v>65</v>
      </c>
      <c r="C44" s="40" t="n">
        <f aca="false">B44*0.0630902</f>
        <v>4.100863</v>
      </c>
    </row>
    <row r="46" customFormat="false" ht="15" hidden="false" customHeight="false" outlineLevel="0" collapsed="false">
      <c r="A46" s="6" t="s">
        <v>505</v>
      </c>
      <c r="B46" s="6"/>
      <c r="C46" s="6"/>
      <c r="D46" s="6"/>
      <c r="E46" s="6"/>
      <c r="F46" s="6"/>
      <c r="G46" s="6"/>
      <c r="H46" s="6"/>
      <c r="I46" s="6"/>
    </row>
    <row r="47" customFormat="false" ht="25.5" hidden="false" customHeight="true" outlineLevel="0" collapsed="false">
      <c r="B47" s="4" t="s">
        <v>506</v>
      </c>
      <c r="C47" s="4"/>
      <c r="D47" s="4"/>
      <c r="E47" s="4"/>
      <c r="F47" s="4"/>
      <c r="G47" s="4"/>
      <c r="H47" s="4"/>
      <c r="I47" s="4"/>
    </row>
    <row r="48" customFormat="false" ht="39.75" hidden="false" customHeight="true" outlineLevel="0" collapsed="false">
      <c r="A48" s="7" t="s">
        <v>507</v>
      </c>
      <c r="B48" s="7" t="s">
        <v>508</v>
      </c>
      <c r="C48" s="7" t="s">
        <v>509</v>
      </c>
      <c r="D48" s="7" t="s">
        <v>510</v>
      </c>
      <c r="E48" s="7" t="s">
        <v>511</v>
      </c>
      <c r="F48" s="7" t="s">
        <v>235</v>
      </c>
      <c r="G48" s="7" t="s">
        <v>241</v>
      </c>
      <c r="H48" s="7" t="s">
        <v>512</v>
      </c>
    </row>
    <row r="49" customFormat="false" ht="15" hidden="false" customHeight="false" outlineLevel="0" collapsed="false">
      <c r="A49" s="9" t="s">
        <v>513</v>
      </c>
      <c r="B49" s="53" t="n">
        <v>0</v>
      </c>
      <c r="C49" s="8" t="n">
        <v>100</v>
      </c>
      <c r="D49" s="8" t="n">
        <v>150</v>
      </c>
      <c r="E49" s="19" t="n">
        <v>0.4</v>
      </c>
      <c r="F49" s="28" t="n">
        <v>1.3</v>
      </c>
      <c r="G49" s="28" t="n">
        <v>1.6</v>
      </c>
      <c r="H49" s="8" t="n">
        <v>15</v>
      </c>
    </row>
    <row r="50" customFormat="false" ht="15" hidden="false" customHeight="false" outlineLevel="0" collapsed="false">
      <c r="A50" s="9" t="s">
        <v>514</v>
      </c>
      <c r="B50" s="53" t="n">
        <v>2501</v>
      </c>
      <c r="C50" s="8" t="n">
        <v>120</v>
      </c>
      <c r="D50" s="8" t="n">
        <v>175</v>
      </c>
      <c r="E50" s="19" t="n">
        <v>0.3</v>
      </c>
      <c r="F50" s="28" t="n">
        <v>1.3</v>
      </c>
      <c r="G50" s="28" t="n">
        <v>1.6</v>
      </c>
      <c r="H50" s="8" t="n">
        <v>20</v>
      </c>
    </row>
    <row r="51" customFormat="false" ht="15" hidden="false" customHeight="false" outlineLevel="0" collapsed="false">
      <c r="A51" s="9" t="s">
        <v>515</v>
      </c>
      <c r="B51" s="53" t="n">
        <v>12501</v>
      </c>
      <c r="C51" s="8" t="n">
        <v>130</v>
      </c>
      <c r="D51" s="8" t="n">
        <v>175</v>
      </c>
      <c r="E51" s="19" t="n">
        <v>0.25</v>
      </c>
      <c r="F51" s="28" t="n">
        <v>1.2</v>
      </c>
      <c r="G51" s="28" t="n">
        <v>1.5</v>
      </c>
      <c r="H51" s="8" t="n">
        <v>25</v>
      </c>
    </row>
    <row r="52" customFormat="false" ht="15" hidden="false" customHeight="false" outlineLevel="0" collapsed="false">
      <c r="A52" s="9" t="s">
        <v>516</v>
      </c>
      <c r="B52" s="53" t="n">
        <v>60001</v>
      </c>
      <c r="C52" s="8" t="n">
        <v>150</v>
      </c>
      <c r="D52" s="8" t="n">
        <v>200</v>
      </c>
      <c r="E52" s="19" t="n">
        <v>0.2</v>
      </c>
      <c r="F52" s="28" t="n">
        <v>1.2</v>
      </c>
      <c r="G52" s="28" t="n">
        <v>1.5</v>
      </c>
      <c r="H52" s="8" t="n">
        <v>30</v>
      </c>
    </row>
    <row r="54" customFormat="false" ht="15" hidden="false" customHeight="false" outlineLevel="0" collapsed="false">
      <c r="A54" s="6" t="s">
        <v>517</v>
      </c>
      <c r="B54" s="6"/>
      <c r="C54" s="6"/>
      <c r="D54" s="6"/>
      <c r="E54" s="6"/>
      <c r="F54" s="6"/>
      <c r="G54" s="6"/>
      <c r="H54" s="6"/>
      <c r="I54" s="6"/>
    </row>
    <row r="55" customFormat="false" ht="12.75" hidden="false" customHeight="true" outlineLevel="0" collapsed="false">
      <c r="B55" s="4" t="s">
        <v>518</v>
      </c>
      <c r="C55" s="4"/>
      <c r="D55" s="4"/>
      <c r="E55" s="4"/>
      <c r="F55" s="4"/>
      <c r="G55" s="4"/>
      <c r="H55" s="4"/>
      <c r="I55" s="4"/>
    </row>
    <row r="56" customFormat="false" ht="39.75" hidden="false" customHeight="true" outlineLevel="0" collapsed="false">
      <c r="A56" s="7" t="s">
        <v>326</v>
      </c>
      <c r="B56" s="7" t="s">
        <v>519</v>
      </c>
      <c r="C56" s="7" t="s">
        <v>520</v>
      </c>
      <c r="D56" s="7" t="s">
        <v>521</v>
      </c>
      <c r="E56" s="7" t="s">
        <v>327</v>
      </c>
    </row>
    <row r="57" customFormat="false" ht="15" hidden="false" customHeight="false" outlineLevel="0" collapsed="false">
      <c r="A57" s="9" t="s">
        <v>298</v>
      </c>
      <c r="B57" s="8" t="s">
        <v>522</v>
      </c>
      <c r="C57" s="28" t="n">
        <v>21.34</v>
      </c>
      <c r="D57" s="28" t="n">
        <v>1.58</v>
      </c>
      <c r="E57" s="28" t="n">
        <f aca="false">C57-2*D57</f>
        <v>18.18</v>
      </c>
    </row>
    <row r="58" customFormat="false" ht="15" hidden="false" customHeight="false" outlineLevel="0" collapsed="false">
      <c r="A58" s="9" t="s">
        <v>347</v>
      </c>
      <c r="B58" s="8" t="s">
        <v>523</v>
      </c>
      <c r="C58" s="28" t="n">
        <v>26.67</v>
      </c>
      <c r="D58" s="28" t="n">
        <v>1.27</v>
      </c>
      <c r="E58" s="28" t="n">
        <f aca="false">C58-2*D58</f>
        <v>24.13</v>
      </c>
    </row>
    <row r="59" customFormat="false" ht="15" hidden="false" customHeight="false" outlineLevel="0" collapsed="false">
      <c r="A59" s="9" t="s">
        <v>344</v>
      </c>
      <c r="B59" s="8" t="s">
        <v>523</v>
      </c>
      <c r="C59" s="28" t="n">
        <v>33.4</v>
      </c>
      <c r="D59" s="28" t="n">
        <v>1.59</v>
      </c>
      <c r="E59" s="28" t="n">
        <f aca="false">C59-2*D59</f>
        <v>30.22</v>
      </c>
    </row>
    <row r="60" customFormat="false" ht="15" hidden="false" customHeight="false" outlineLevel="0" collapsed="false">
      <c r="A60" s="9" t="s">
        <v>341</v>
      </c>
      <c r="B60" s="8" t="s">
        <v>523</v>
      </c>
      <c r="C60" s="28" t="n">
        <v>42.16</v>
      </c>
      <c r="D60" s="28" t="n">
        <v>2.01</v>
      </c>
      <c r="E60" s="28" t="n">
        <f aca="false">C60-2*D60</f>
        <v>38.14</v>
      </c>
    </row>
    <row r="61" customFormat="false" ht="15" hidden="false" customHeight="false" outlineLevel="0" collapsed="false">
      <c r="A61" s="9" t="s">
        <v>524</v>
      </c>
      <c r="B61" s="8" t="s">
        <v>523</v>
      </c>
      <c r="C61" s="28" t="n">
        <v>48.26</v>
      </c>
      <c r="D61" s="28" t="n">
        <v>2.3</v>
      </c>
      <c r="E61" s="28" t="n">
        <f aca="false">C61-2*D61</f>
        <v>43.66</v>
      </c>
    </row>
    <row r="62" customFormat="false" ht="15" hidden="false" customHeight="false" outlineLevel="0" collapsed="false">
      <c r="A62" s="9" t="s">
        <v>525</v>
      </c>
      <c r="B62" s="8" t="s">
        <v>523</v>
      </c>
      <c r="C62" s="28" t="n">
        <v>60.32</v>
      </c>
      <c r="D62" s="28" t="n">
        <v>2.87</v>
      </c>
      <c r="E62" s="28" t="n">
        <f aca="false">C62-2*D62</f>
        <v>54.58</v>
      </c>
    </row>
    <row r="64" customFormat="false" ht="15" hidden="false" customHeight="false" outlineLevel="0" collapsed="false">
      <c r="A64" s="6" t="s">
        <v>526</v>
      </c>
      <c r="B64" s="6"/>
      <c r="C64" s="6"/>
      <c r="D64" s="6"/>
      <c r="E64" s="6"/>
      <c r="F64" s="6"/>
      <c r="G64" s="6"/>
      <c r="H64" s="6"/>
      <c r="I64" s="6"/>
    </row>
    <row r="65" customFormat="false" ht="12.75" hidden="false" customHeight="true" outlineLevel="0" collapsed="false">
      <c r="B65" s="4" t="s">
        <v>527</v>
      </c>
      <c r="C65" s="4"/>
      <c r="D65" s="4"/>
      <c r="E65" s="4"/>
      <c r="F65" s="4"/>
      <c r="G65" s="4"/>
      <c r="H65" s="4"/>
      <c r="I65" s="4"/>
    </row>
    <row r="66" customFormat="false" ht="39.75" hidden="false" customHeight="true" outlineLevel="0" collapsed="false">
      <c r="A66" s="7" t="s">
        <v>326</v>
      </c>
      <c r="B66" s="7" t="s">
        <v>528</v>
      </c>
    </row>
    <row r="67" customFormat="false" ht="15" hidden="false" customHeight="false" outlineLevel="0" collapsed="false">
      <c r="A67" s="9" t="s">
        <v>298</v>
      </c>
      <c r="B67" s="8" t="n">
        <v>2.5</v>
      </c>
    </row>
    <row r="68" customFormat="false" ht="15" hidden="false" customHeight="false" outlineLevel="0" collapsed="false">
      <c r="A68" s="9" t="s">
        <v>347</v>
      </c>
      <c r="B68" s="8" t="n">
        <v>4</v>
      </c>
    </row>
    <row r="69" customFormat="false" ht="15" hidden="false" customHeight="false" outlineLevel="0" collapsed="false">
      <c r="A69" s="9" t="s">
        <v>344</v>
      </c>
      <c r="B69" s="8" t="n">
        <v>6.3</v>
      </c>
    </row>
    <row r="70" customFormat="false" ht="15" hidden="false" customHeight="false" outlineLevel="0" collapsed="false">
      <c r="A70" s="9" t="s">
        <v>341</v>
      </c>
      <c r="B70" s="8" t="n">
        <v>10</v>
      </c>
    </row>
    <row r="71" customFormat="false" ht="15" hidden="false" customHeight="false" outlineLevel="0" collapsed="false">
      <c r="A71" s="9" t="s">
        <v>524</v>
      </c>
      <c r="B71" s="8" t="n">
        <v>16</v>
      </c>
    </row>
    <row r="72" customFormat="false" ht="15" hidden="false" customHeight="false" outlineLevel="0" collapsed="false">
      <c r="A72" s="9" t="s">
        <v>525</v>
      </c>
      <c r="B72" s="8" t="n">
        <v>25</v>
      </c>
    </row>
    <row r="74" customFormat="false" ht="15" hidden="false" customHeight="false" outlineLevel="0" collapsed="false">
      <c r="A74" s="6" t="s">
        <v>529</v>
      </c>
      <c r="B74" s="6"/>
      <c r="C74" s="6"/>
      <c r="D74" s="6"/>
      <c r="E74" s="6"/>
      <c r="F74" s="6"/>
      <c r="G74" s="6"/>
      <c r="H74" s="6"/>
      <c r="I74" s="6"/>
    </row>
    <row r="75" customFormat="false" ht="39.75" hidden="false" customHeight="true" outlineLevel="0" collapsed="false">
      <c r="A75" s="7" t="s">
        <v>530</v>
      </c>
    </row>
    <row r="76" customFormat="false" ht="15" hidden="false" customHeight="false" outlineLevel="0" collapsed="false">
      <c r="A76" s="54" t="n">
        <v>0.5</v>
      </c>
    </row>
    <row r="77" customFormat="false" ht="15" hidden="false" customHeight="false" outlineLevel="0" collapsed="false">
      <c r="A77" s="54" t="n">
        <v>0.75</v>
      </c>
    </row>
    <row r="78" customFormat="false" ht="15" hidden="false" customHeight="false" outlineLevel="0" collapsed="false">
      <c r="A78" s="54" t="n">
        <v>1</v>
      </c>
    </row>
    <row r="79" customFormat="false" ht="15" hidden="false" customHeight="false" outlineLevel="0" collapsed="false">
      <c r="A79" s="54" t="n">
        <v>1.5</v>
      </c>
    </row>
    <row r="80" customFormat="false" ht="15" hidden="false" customHeight="false" outlineLevel="0" collapsed="false">
      <c r="A80" s="54" t="n">
        <v>2</v>
      </c>
    </row>
    <row r="81" customFormat="false" ht="15" hidden="false" customHeight="false" outlineLevel="0" collapsed="false">
      <c r="A81" s="54" t="n">
        <v>3</v>
      </c>
    </row>
    <row r="82" customFormat="false" ht="15" hidden="false" customHeight="false" outlineLevel="0" collapsed="false">
      <c r="A82" s="54" t="n">
        <v>5</v>
      </c>
    </row>
  </sheetData>
  <mergeCells count="12">
    <mergeCell ref="A1:I1"/>
    <mergeCell ref="A2:I2"/>
    <mergeCell ref="A3:I3"/>
    <mergeCell ref="A6:I6"/>
    <mergeCell ref="B7:I7"/>
    <mergeCell ref="A46:I46"/>
    <mergeCell ref="B47:I47"/>
    <mergeCell ref="A54:I54"/>
    <mergeCell ref="B55:I55"/>
    <mergeCell ref="A64:I64"/>
    <mergeCell ref="B65:I65"/>
    <mergeCell ref="A74:I74"/>
  </mergeCell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2026-10-29T08:00:11Z</dcterms:created>
  <dc:creator>openpyxl</dc:creator>
  <dc:description/>
  <dc:language>en-US</dc:language>
  <cp:lastModifiedBy/>
  <dcterms:modified xsi:type="dcterms:W3CDTF">2026-10-29T08:00:11Z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