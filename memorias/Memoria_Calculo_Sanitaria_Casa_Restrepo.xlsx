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Poblacion" sheetId="2" state="visible" r:id="rId4"/>
    <sheet name="Caudales_AR" sheetId="3" state="visible" r:id="rId5"/>
    <sheet name="UD_Desagues" sheetId="4" state="visible" r:id="rId6"/>
    <sheet name="Aguas_Lluvias" sheetId="5" state="visible" r:id="rId7"/>
    <sheet name="Hidraulica_Colectores" sheetId="6" state="visible" r:id="rId8"/>
    <sheet name="Trampa_Grasas" sheetId="7" state="visible" r:id="rId9"/>
    <sheet name="Tanque_Septico" sheetId="8" state="visible" r:id="rId10"/>
    <sheet name="FAFA" sheetId="9" state="visible" r:id="rId11"/>
    <sheet name="Campo_Infiltracion" sheetId="10" state="visible" r:id="rId12"/>
    <sheet name="Resumen" sheetId="11" state="visible" r:id="rId13"/>
    <sheet name="Tabla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<sst xmlns="http://schemas.openxmlformats.org/spreadsheetml/2006/main" count="1515" uniqueCount="782">
  <si>
    <t xml:space="preserve">MEMORIA DE CÁLCULO – INSTALACIONES SANITARIAS, AGUAS LLUVIAS Y SISTEMA DE TRATAMIENTO IN SITU</t>
  </si>
  <si>
    <t xml:space="preserve">DATOS GENERALES, NORMATIVA Y PROGRAMA ARQUITECTÓNICO</t>
  </si>
  <si>
    <t xml:space="preserve">Proyecto: Vivienda campestre unifamiliar – Restrepo (Valle del Cauca) | Rev. 0 | PENDIENTE: ajustar con planos arquitectónicos (D:\trabajo\proyecto\en curso\casa Restrepo)</t>
  </si>
  <si>
    <t xml:space="preserve">Leyenda: celdas AMARILLAS con texto AZUL = datos de entrada editables. Texto NEGRO = fórmulas. Texto VERDE = vínculos a otras hojas. Verificaciones en verde (CUMPLE) / rojo (NO CUMPLE).</t>
  </si>
  <si>
    <t xml:space="preserve">PENDIENTE: ajustar con planos arquitectónicos (D:\trabajo\proyecto\en curso\casa Restrepo)</t>
  </si>
  <si>
    <t xml:space="preserve">1. IDENTIFICACIÓN DEL PROYECTO</t>
  </si>
  <si>
    <t xml:space="preserve">Ítem</t>
  </si>
  <si>
    <t xml:space="preserve">Descripción</t>
  </si>
  <si>
    <t xml:space="preserve">Símbolo</t>
  </si>
  <si>
    <t xml:space="preserve">Valor</t>
  </si>
  <si>
    <t xml:space="preserve">Unidad</t>
  </si>
  <si>
    <t xml:space="preserve">Referencia normativa / criterio / observación</t>
  </si>
  <si>
    <t xml:space="preserve">1.1</t>
  </si>
  <si>
    <t xml:space="preserve">Proyecto</t>
  </si>
  <si>
    <t xml:space="preserve">Vivienda campestre unifamiliar</t>
  </si>
  <si>
    <t xml:space="preserve">1.2</t>
  </si>
  <si>
    <t xml:space="preserve">Municipio / departamento</t>
  </si>
  <si>
    <t xml:space="preserve">Restrepo, Valle del Cauca</t>
  </si>
  <si>
    <t xml:space="preserve">1.3</t>
  </si>
  <si>
    <t xml:space="preserve">Zona</t>
  </si>
  <si>
    <t xml:space="preserve">Rural – suelo suburbano / rural (verificar EOT Restrepo)</t>
  </si>
  <si>
    <t xml:space="preserve">Verificar uso del suelo en EOT municipal</t>
  </si>
  <si>
    <t xml:space="preserve">1.4</t>
  </si>
  <si>
    <t xml:space="preserve">Altitud media del predio</t>
  </si>
  <si>
    <t xml:space="preserve">z</t>
  </si>
  <si>
    <t xml:space="preserve">msnm</t>
  </si>
  <si>
    <t xml:space="preserve">PENDIENTE: confirmar con levantamiento topográfico</t>
  </si>
  <si>
    <t xml:space="preserve">1.5</t>
  </si>
  <si>
    <t xml:space="preserve">Temperatura media anual</t>
  </si>
  <si>
    <t xml:space="preserve">T</t>
  </si>
  <si>
    <t xml:space="preserve">°C</t>
  </si>
  <si>
    <t xml:space="preserve">Valor de referencia regional; confirmar con estación IDEAM más cercana</t>
  </si>
  <si>
    <t xml:space="preserve">1.6</t>
  </si>
  <si>
    <t xml:space="preserve">Autoridad ambiental</t>
  </si>
  <si>
    <t xml:space="preserve">CVC – Corporación Autónoma Regional del Valle del Cauca</t>
  </si>
  <si>
    <t xml:space="preserve">Permiso de vertimientos: Decreto 1076/2015</t>
  </si>
  <si>
    <t xml:space="preserve">1.7</t>
  </si>
  <si>
    <t xml:space="preserve">Fuente de abastecimiento</t>
  </si>
  <si>
    <t xml:space="preserve">Acueducto veredal / rural (punto de conexión)</t>
  </si>
  <si>
    <t xml:space="preserve">PENDIENTE: certificado de disponibilidad del prestador</t>
  </si>
  <si>
    <t xml:space="preserve">1.8</t>
  </si>
  <si>
    <t xml:space="preserve">Disposición de aguas residuales</t>
  </si>
  <si>
    <t xml:space="preserve">Sistema individual in situ: TG + TS + FAFA + campo de infiltración</t>
  </si>
  <si>
    <t xml:space="preserve">Sin red de alcantarillado público disponible</t>
  </si>
  <si>
    <t xml:space="preserve">1.9</t>
  </si>
  <si>
    <t xml:space="preserve">Revisión / fecha</t>
  </si>
  <si>
    <t xml:space="preserve">Rev. 0 – borrador para ajuste con planos</t>
  </si>
  <si>
    <t xml:space="preserve">2. PROGRAMA ARQUITECTÓNICO (EDITAR SEGÚN PLANOS)</t>
  </si>
  <si>
    <t xml:space="preserve">2.1</t>
  </si>
  <si>
    <t xml:space="preserve">Alcobas principales</t>
  </si>
  <si>
    <t xml:space="preserve">Na</t>
  </si>
  <si>
    <t xml:space="preserve">und</t>
  </si>
  <si>
    <t xml:space="preserve">2.2</t>
  </si>
  <si>
    <t xml:space="preserve">Alcobas de servicio</t>
  </si>
  <si>
    <t xml:space="preserve">Nas</t>
  </si>
  <si>
    <t xml:space="preserve">2.3</t>
  </si>
  <si>
    <t xml:space="preserve">Baños completos (sanitario + lavamanos + ducha)</t>
  </si>
  <si>
    <t xml:space="preserve">Nbc</t>
  </si>
  <si>
    <t xml:space="preserve">2.4</t>
  </si>
  <si>
    <t xml:space="preserve">Baños sociales (sanitario + lavamanos)</t>
  </si>
  <si>
    <t xml:space="preserve">Nbs</t>
  </si>
  <si>
    <t xml:space="preserve">2.5</t>
  </si>
  <si>
    <t xml:space="preserve">Cocinas (lavaplatos)</t>
  </si>
  <si>
    <t xml:space="preserve">Nc</t>
  </si>
  <si>
    <t xml:space="preserve">2.6</t>
  </si>
  <si>
    <t xml:space="preserve">Zonas de ropas (lavadero + lavadora)</t>
  </si>
  <si>
    <t xml:space="preserve">Nr</t>
  </si>
  <si>
    <t xml:space="preserve">2.7</t>
  </si>
  <si>
    <t xml:space="preserve">Zona BBQ / kiosco (lavaplatos exterior)</t>
  </si>
  <si>
    <t xml:space="preserve">Nbbq</t>
  </si>
  <si>
    <t xml:space="preserve">2.8</t>
  </si>
  <si>
    <t xml:space="preserve">Llaves de jardín / manguera</t>
  </si>
  <si>
    <t xml:space="preserve">Nj</t>
  </si>
  <si>
    <t xml:space="preserve">2.9</t>
  </si>
  <si>
    <t xml:space="preserve">Número de pisos</t>
  </si>
  <si>
    <t xml:space="preserve">Np</t>
  </si>
  <si>
    <t xml:space="preserve">2.10</t>
  </si>
  <si>
    <t xml:space="preserve">Área de cubierta (proyección horizontal)</t>
  </si>
  <si>
    <t xml:space="preserve">Ac</t>
  </si>
  <si>
    <t xml:space="preserve">m²</t>
  </si>
  <si>
    <t xml:space="preserve">2.11</t>
  </si>
  <si>
    <t xml:space="preserve">Área de patios / terrazas duras drenadas</t>
  </si>
  <si>
    <t xml:space="preserve">Ap</t>
  </si>
  <si>
    <t xml:space="preserve">2.12</t>
  </si>
  <si>
    <t xml:space="preserve">Área de zonas verdes / jardín con riego</t>
  </si>
  <si>
    <t xml:space="preserve">Av</t>
  </si>
  <si>
    <t xml:space="preserve">3. MARCO NORMATIVO APLICADO</t>
  </si>
  <si>
    <t xml:space="preserve">• RAS 2000 – Reglamento Técnico del Sector de Agua Potable y Saneamiento Básico (Res. 1096/2000): Título A (nivel de complejidad), Título B (población, dotación, caudales), Título D (alcantarillados), Título E (tratamiento de aguas residuales – sistemas in situ).</t>
  </si>
  <si>
    <t xml:space="preserve">• Resolución 0330 de 2017 (MinVivienda), modificada por la Res. 0799 de 2021 – reglamento técnico vigente (dotación neta máxima, pérdidas, coeficientes de diseño). Prevalece sobre RAS 2000 donde difieren.</t>
  </si>
  <si>
    <t xml:space="preserve">• NTC 1500:2017 – Código colombiano de instalaciones hidráulicas y sanitarias (aparatos, presiones, unidades de consumo y de descarga, ventilación, aguas lluvias).</t>
  </si>
  <si>
    <t xml:space="preserve">• Decreto 1077 de 2015 (sector vivienda) y Decreto 1076 de 2015 (sector ambiente – permiso de vertimientos ante la CVC).</t>
  </si>
  <si>
    <t xml:space="preserve">• Resolución 699 de 2021 (MinAmbiente) – vertimientos de ARD tratadas al suelo.</t>
  </si>
  <si>
    <t xml:space="preserve">• Criterios complementarios de referencia: NBR 7229/1993 y NBR 13969/1997 (tanque séptico y filtro anaerobio, base de las fórmulas del RAS 2000 Título E); USPHS Manual of Septic-Tank Practice (1967) – percolación; IPC (International Plumbing Code) – tablas de capacidad de desagües y bajantes pluviales.</t>
  </si>
  <si>
    <t xml:space="preserve">NOTA: los valores de tablas normativas transcritos en la hoja "Tablas" deben verificarse contra la edición vigente de cada norma antes de radicar la memoria.</t>
  </si>
  <si>
    <t xml:space="preserve">CÁLCULO DE POBLACIÓN DE DISEÑO POR USOS Y NIVEL DE COMPLEJIDAD (RAS 2000)</t>
  </si>
  <si>
    <t xml:space="preserve">La vivienda unifamiliar no requiere proyección demográfica (RAS 2000 B.2.2): la población se fija por capacidad de ocupación (alcobas) y se discrimina por tipo de uso/ocupante (permanente, servicio, flotante, empleados), conforme a RAS 2000 B.2.3 (usos) y B.2.4 (dotación por uso).</t>
  </si>
  <si>
    <t xml:space="preserve">1. PARÁMETROS DE OCUPACIÓN</t>
  </si>
  <si>
    <t xml:space="preserve">Ocupación por alcoba principal</t>
  </si>
  <si>
    <t xml:space="preserve">ha</t>
  </si>
  <si>
    <t xml:space="preserve">hab/alcoba</t>
  </si>
  <si>
    <t xml:space="preserve">Criterio usual de diseño de instalaciones internas (2 hab/alcoba)</t>
  </si>
  <si>
    <t xml:space="preserve">Ocupación por alcoba de servicio</t>
  </si>
  <si>
    <t xml:space="preserve">hs</t>
  </si>
  <si>
    <t xml:space="preserve">Criterio usual de diseño</t>
  </si>
  <si>
    <t xml:space="preserve">Población flotante – visitantes que pernoctan (ocupación pico fin de semana)</t>
  </si>
  <si>
    <t xml:space="preserve">Nv</t>
  </si>
  <si>
    <t xml:space="preserve">hab</t>
  </si>
  <si>
    <t xml:space="preserve">Uso recreacional campestre; PENDIENTE confirmar con propietario</t>
  </si>
  <si>
    <t xml:space="preserve">Población flotante – empleados sin pernoctación (mayordomo, jardinero, aseo)</t>
  </si>
  <si>
    <t xml:space="preserve">Ne</t>
  </si>
  <si>
    <t xml:space="preserve">emp</t>
  </si>
  <si>
    <t xml:space="preserve">PENDIENTE confirmar con propietario</t>
  </si>
  <si>
    <t xml:space="preserve">2. POBLACIÓN DE DISEÑO POR USOS</t>
  </si>
  <si>
    <t xml:space="preserve">Población residente permanente = Na × ha</t>
  </si>
  <si>
    <t xml:space="preserve">Pr</t>
  </si>
  <si>
    <t xml:space="preserve">RAS 2000 B.2.3 – uso residencial</t>
  </si>
  <si>
    <t xml:space="preserve">Población de servicio doméstico = Nas × hs</t>
  </si>
  <si>
    <t xml:space="preserve">Ps</t>
  </si>
  <si>
    <t xml:space="preserve">Uso residencial (pernocta)</t>
  </si>
  <si>
    <t xml:space="preserve">Población flotante que pernocta</t>
  </si>
  <si>
    <t xml:space="preserve">Pf</t>
  </si>
  <si>
    <t xml:space="preserve">RAS 2000 B.2.3 – población flotante</t>
  </si>
  <si>
    <t xml:space="preserve">Población con pernoctación (diseño residencial) = Pr + Ps + Pf</t>
  </si>
  <si>
    <t xml:space="preserve">Pp</t>
  </si>
  <si>
    <t xml:space="preserve">Se diseña para ocupación pico (casa campestre)</t>
  </si>
  <si>
    <t xml:space="preserve">Población flotante diurna (empleados)</t>
  </si>
  <si>
    <t xml:space="preserve">Pe</t>
  </si>
  <si>
    <t xml:space="preserve">Uso de servicio – dotación reducida</t>
  </si>
  <si>
    <t xml:space="preserve">Población total de diseño = Pp + Pe</t>
  </si>
  <si>
    <t xml:space="preserve">Pd</t>
  </si>
  <si>
    <t xml:space="preserve">3. NIVEL DE COMPLEJIDAD DEL SISTEMA (RAS 2000 TABLA A.3.1)</t>
  </si>
  <si>
    <t xml:space="preserve">3.1</t>
  </si>
  <si>
    <t xml:space="preserve">Índice de nivel según población servida</t>
  </si>
  <si>
    <t xml:space="preserve">i</t>
  </si>
  <si>
    <t xml:space="preserve">Bajo ≤ 2.500 hab; Medio 2.501–12.500; Medio alto 12.501–60.000; Alto &gt; 60.000</t>
  </si>
  <si>
    <t xml:space="preserve">3.2</t>
  </si>
  <si>
    <t xml:space="preserve">Nivel de complejidad</t>
  </si>
  <si>
    <t xml:space="preserve">NC</t>
  </si>
  <si>
    <t xml:space="preserve">Sistema individual unifamiliar → BAJO</t>
  </si>
  <si>
    <t xml:space="preserve">3.3</t>
  </si>
  <si>
    <t xml:space="preserve">Período de diseño de referencia (RAS 2000)</t>
  </si>
  <si>
    <t xml:space="preserve">n</t>
  </si>
  <si>
    <t xml:space="preserve">años</t>
  </si>
  <si>
    <t xml:space="preserve">Res. 0330/2017 fija 25 años para sistemas nuevos; en vivienda la población no varía con el horizonte</t>
  </si>
  <si>
    <t xml:space="preserve">4. DOTACIÓN NETA POR USO (RAS 2000 B.2.4 – RES. 0330/2017 ART. 43)</t>
  </si>
  <si>
    <t xml:space="preserve">4.1</t>
  </si>
  <si>
    <t xml:space="preserve">Dotación neta mínima RAS 2000 para el nivel</t>
  </si>
  <si>
    <t xml:space="preserve">dmín</t>
  </si>
  <si>
    <t xml:space="preserve">L/hab·d</t>
  </si>
  <si>
    <t xml:space="preserve">RAS 2000 Tabla B.2.2</t>
  </si>
  <si>
    <t xml:space="preserve">4.2</t>
  </si>
  <si>
    <t xml:space="preserve">Dotación neta máxima RAS 2000 para el nivel</t>
  </si>
  <si>
    <t xml:space="preserve">dmáx</t>
  </si>
  <si>
    <t xml:space="preserve">4.3</t>
  </si>
  <si>
    <t xml:space="preserve">Dotación neta base seleccionada (RAS 2000)</t>
  </si>
  <si>
    <t xml:space="preserve">d0</t>
  </si>
  <si>
    <t xml:space="preserve">Entre dmín y dmáx según usos de la vivienda</t>
  </si>
  <si>
    <t xml:space="preserve">4.4</t>
  </si>
  <si>
    <t xml:space="preserve">Dotación base dentro del rango RAS 2000</t>
  </si>
  <si>
    <t xml:space="preserve">✓</t>
  </si>
  <si>
    <t xml:space="preserve">4.5</t>
  </si>
  <si>
    <t xml:space="preserve">Corrección por clima (T media)</t>
  </si>
  <si>
    <t xml:space="preserve">Δc</t>
  </si>
  <si>
    <t xml:space="preserve">%</t>
  </si>
  <si>
    <t xml:space="preserve">RAS 2000 Tabla B.2.3: cálido (&gt;28 °C) +15 %; templado (20–28 °C) +10 %; frío (&lt;20 °C) sin corrección</t>
  </si>
  <si>
    <t xml:space="preserve">4.6</t>
  </si>
  <si>
    <t xml:space="preserve">Dotación neta corregida RAS 2000 = d0 × (1 + Δc)</t>
  </si>
  <si>
    <t xml:space="preserve">dRAS</t>
  </si>
  <si>
    <t xml:space="preserve">4.7</t>
  </si>
  <si>
    <t xml:space="preserve">Dotación neta máxima Res. 0330/2017 según altitud</t>
  </si>
  <si>
    <t xml:space="preserve">d0330</t>
  </si>
  <si>
    <t xml:space="preserve">Art. 43: &gt;2.000 msnm: 120; 1.000–2.000 msnm: 130; &lt;1.000 msnm: 140 L/hab·d</t>
  </si>
  <si>
    <t xml:space="preserve">4.8</t>
  </si>
  <si>
    <t xml:space="preserve">Dotación neta adoptada – uso residencial = MÍN(dRAS; d0330)</t>
  </si>
  <si>
    <t xml:space="preserve">dn</t>
  </si>
  <si>
    <t xml:space="preserve">Se adopta el menor valor (norma vigente prevalece)</t>
  </si>
  <si>
    <t xml:space="preserve">4.9</t>
  </si>
  <si>
    <t xml:space="preserve">Dotación neta – empleados sin pernoctación</t>
  </si>
  <si>
    <t xml:space="preserve">de</t>
  </si>
  <si>
    <t xml:space="preserve">L/emp·d</t>
  </si>
  <si>
    <t xml:space="preserve">Criterio para personal de jornada diurna (NBR 7229 – ocupantes temporales: 50 L/pers·d)</t>
  </si>
  <si>
    <t xml:space="preserve">5. CONSUMO NETO POR USOS</t>
  </si>
  <si>
    <t xml:space="preserve">Uso / tipo de ocupante</t>
  </si>
  <si>
    <t xml:space="preserve">Población (hab)</t>
  </si>
  <si>
    <t xml:space="preserve">Dotación neta (L/hab·d)</t>
  </si>
  <si>
    <t xml:space="preserve">Consumo neto (L/d)</t>
  </si>
  <si>
    <t xml:space="preserve">Residentes permanentes</t>
  </si>
  <si>
    <t xml:space="preserve">Servicio doméstico</t>
  </si>
  <si>
    <t xml:space="preserve">Flotante – visitantes que pernoctan</t>
  </si>
  <si>
    <t xml:space="preserve">Flotante – empleados diurnos</t>
  </si>
  <si>
    <t xml:space="preserve">TOTAL</t>
  </si>
  <si>
    <t xml:space="preserve">5.1</t>
  </si>
  <si>
    <t xml:space="preserve">Población equivalente = Consumo neto / dn</t>
  </si>
  <si>
    <t xml:space="preserve">Peq</t>
  </si>
  <si>
    <t xml:space="preserve">hab-eq</t>
  </si>
  <si>
    <t xml:space="preserve">Para cargas y comparación</t>
  </si>
  <si>
    <t xml:space="preserve">CAUDALES DE AGUAS RESIDUALES DOMÉSTICAS (ARD) Y CONTRIBUCIÓN AL SISTEMA IN SITU</t>
  </si>
  <si>
    <t xml:space="preserve">1. COEFICIENTE DE RETORNO</t>
  </si>
  <si>
    <t xml:space="preserve">Coeficiente de retorno</t>
  </si>
  <si>
    <t xml:space="preserve">CR</t>
  </si>
  <si>
    <t xml:space="preserve">Res. 0330/2017 (CR = 0,85); RAS 2000 Tabla D.3.1 (0,70–0,85)</t>
  </si>
  <si>
    <t xml:space="preserve">2. CAUDALES DE ARD</t>
  </si>
  <si>
    <t xml:space="preserve">Caudal medio diario de ARD = CR × Consumo neto / 86.400</t>
  </si>
  <si>
    <t xml:space="preserve">QmdAR</t>
  </si>
  <si>
    <t xml:space="preserve">L/s</t>
  </si>
  <si>
    <t xml:space="preserve">RAS 2000 D.3.2</t>
  </si>
  <si>
    <t xml:space="preserve">Factor de mayoración de Harmon F = 1 + 14 / (4 + √(P/1000))</t>
  </si>
  <si>
    <t xml:space="preserve">F</t>
  </si>
  <si>
    <t xml:space="preserve">RAS 2000 D.3.2.4 (límite superior para poblaciones muy pequeñas)</t>
  </si>
  <si>
    <t xml:space="preserve">Caudal máximo horario de ARD = F × QmdAR</t>
  </si>
  <si>
    <t xml:space="preserve">QMHAR</t>
  </si>
  <si>
    <t xml:space="preserve">Aporte por infiltración</t>
  </si>
  <si>
    <t xml:space="preserve">Qinf</t>
  </si>
  <si>
    <t xml:space="preserve">Red interna nueva y estanca: no aplica</t>
  </si>
  <si>
    <t xml:space="preserve">Aporte por conexiones erradas</t>
  </si>
  <si>
    <t xml:space="preserve">Qce</t>
  </si>
  <si>
    <t xml:space="preserve">Aguas lluvias en red separada: no aplica</t>
  </si>
  <si>
    <t xml:space="preserve">Caudal de diseño ARD (por población)</t>
  </si>
  <si>
    <t xml:space="preserve">QdAR</t>
  </si>
  <si>
    <t xml:space="preserve">Referencia; los desagües internos se dimensionan por UD (Hunter)</t>
  </si>
  <si>
    <t xml:space="preserve">3. CONTRIBUCIÓN DIARIA AL SISTEMA IN SITU (RAS 2000 TÍTULO E / NBR 7229 TABLA 1)</t>
  </si>
  <si>
    <t xml:space="preserve">Ocupantes permanentes (con pernoctación)</t>
  </si>
  <si>
    <t xml:space="preserve">Hoja Poblacion</t>
  </si>
  <si>
    <t xml:space="preserve">Contribución de ARD por ocupante permanente</t>
  </si>
  <si>
    <t xml:space="preserve">Cp</t>
  </si>
  <si>
    <t xml:space="preserve">NBR 7229 Tabla 1 – residencia estándar medio</t>
  </si>
  <si>
    <t xml:space="preserve">Contribución de lodo fresco por ocupante permanente</t>
  </si>
  <si>
    <t xml:space="preserve">Lfp</t>
  </si>
  <si>
    <t xml:space="preserve">NBR 7229 Tabla 1</t>
  </si>
  <si>
    <t xml:space="preserve">3.4</t>
  </si>
  <si>
    <t xml:space="preserve">Ocupantes temporales (empleados diurnos)</t>
  </si>
  <si>
    <t xml:space="preserve">Nt</t>
  </si>
  <si>
    <t xml:space="preserve">3.5</t>
  </si>
  <si>
    <t xml:space="preserve">Contribución de ARD por ocupante temporal</t>
  </si>
  <si>
    <t xml:space="preserve">Ct</t>
  </si>
  <si>
    <t xml:space="preserve">NBR 7229 Tabla 1 – ocupantes temporales</t>
  </si>
  <si>
    <t xml:space="preserve">3.6</t>
  </si>
  <si>
    <t xml:space="preserve">Contribución de lodo fresco por ocupante temporal</t>
  </si>
  <si>
    <t xml:space="preserve">Lft</t>
  </si>
  <si>
    <t xml:space="preserve">3.7</t>
  </si>
  <si>
    <t xml:space="preserve">Contribución diaria = Np·Cp + Nt·Ct</t>
  </si>
  <si>
    <t xml:space="preserve">Cd</t>
  </si>
  <si>
    <t xml:space="preserve">L/d</t>
  </si>
  <si>
    <t xml:space="preserve">3.8</t>
  </si>
  <si>
    <t xml:space="preserve">Lodo fresco total = Np·Lfp + Nt·Lft</t>
  </si>
  <si>
    <t xml:space="preserve">ΣLf</t>
  </si>
  <si>
    <t xml:space="preserve">3.9</t>
  </si>
  <si>
    <t xml:space="preserve">Contribución por coeficiente de retorno = CR × dn</t>
  </si>
  <si>
    <t xml:space="preserve">CR·dn</t>
  </si>
  <si>
    <t xml:space="preserve">Comparación</t>
  </si>
  <si>
    <t xml:space="preserve">3.10</t>
  </si>
  <si>
    <t xml:space="preserve">Contribución adoptada ≥ CR × dotación neta (diseño conservador)</t>
  </si>
  <si>
    <t xml:space="preserve">4. CARGAS CONTAMINANTES (RAS 2000 TÍTULO E – APORTES PER CÁPITA)</t>
  </si>
  <si>
    <t xml:space="preserve">Aporte per cápita DBO5 – ocupante permanente</t>
  </si>
  <si>
    <t xml:space="preserve">g/hab·d</t>
  </si>
  <si>
    <t xml:space="preserve">RAS 2000 Título E – valor sugerido 50 g/hab·d</t>
  </si>
  <si>
    <t xml:space="preserve">Aporte per cápita SST – ocupante permanente</t>
  </si>
  <si>
    <t xml:space="preserve">Aporte DBO5 – ocupante temporal</t>
  </si>
  <si>
    <t xml:space="preserve">g/emp·d</t>
  </si>
  <si>
    <t xml:space="preserve">Criterio: permanencia parcial (≈ 40 %)</t>
  </si>
  <si>
    <t xml:space="preserve">Aporte SST – ocupante temporal</t>
  </si>
  <si>
    <t xml:space="preserve">Carga de DBO5</t>
  </si>
  <si>
    <t xml:space="preserve">WDBO</t>
  </si>
  <si>
    <t xml:space="preserve">g/d</t>
  </si>
  <si>
    <t xml:space="preserve">Carga de SST</t>
  </si>
  <si>
    <t xml:space="preserve">WSST</t>
  </si>
  <si>
    <t xml:space="preserve">Concentración afluente DBO5 = W / Cd</t>
  </si>
  <si>
    <t xml:space="preserve">DBOa</t>
  </si>
  <si>
    <t xml:space="preserve">mg/L</t>
  </si>
  <si>
    <t xml:space="preserve">Concentración afluente SST = W / Cd</t>
  </si>
  <si>
    <t xml:space="preserve">SSTa</t>
  </si>
  <si>
    <t xml:space="preserve">UNIDADES DE DESCARGA, DERIVACIONES, BAJANTES, COLECTORES Y VENTILACIÓN (NTC 1500)</t>
  </si>
  <si>
    <t xml:space="preserve">Cantidades vinculadas al programa arquitectónico (hoja Datos). UD por aparato según NTC 1500 / IPC Tabla 709.1.</t>
  </si>
  <si>
    <t xml:space="preserve">1. UNIDADES DE DESCARGA POR APARATO</t>
  </si>
  <si>
    <t xml:space="preserve">Aparato</t>
  </si>
  <si>
    <t xml:space="preserve">Cantidad (und)</t>
  </si>
  <si>
    <t xml:space="preserve">UD por aparato</t>
  </si>
  <si>
    <t xml:space="preserve">UD totales</t>
  </si>
  <si>
    <t xml:space="preserve">Ø mín. desagüe</t>
  </si>
  <si>
    <t xml:space="preserve">Descarga a</t>
  </si>
  <si>
    <t xml:space="preserve">Sanitario con tanque</t>
  </si>
  <si>
    <t xml:space="preserve">4"</t>
  </si>
  <si>
    <t xml:space="preserve">Tanque séptico</t>
  </si>
  <si>
    <t xml:space="preserve">Lavamanos</t>
  </si>
  <si>
    <t xml:space="preserve">1-1/2"</t>
  </si>
  <si>
    <t xml:space="preserve">Ducha</t>
  </si>
  <si>
    <t xml:space="preserve">2"</t>
  </si>
  <si>
    <t xml:space="preserve">Sifón de piso (baños completos y ropas)</t>
  </si>
  <si>
    <t xml:space="preserve">Lavadero</t>
  </si>
  <si>
    <t xml:space="preserve">Lavadora</t>
  </si>
  <si>
    <t xml:space="preserve">Lavaplatos cocina</t>
  </si>
  <si>
    <t xml:space="preserve">Trampa de grasas</t>
  </si>
  <si>
    <t xml:space="preserve">Lavaplatos BBQ / kiosco</t>
  </si>
  <si>
    <t xml:space="preserve">UD que descargan a la trampa de grasas</t>
  </si>
  <si>
    <t xml:space="preserve">2. VERIFICACIÓN DE CAPACIDAD DE DESAGÜES</t>
  </si>
  <si>
    <t xml:space="preserve">Elemento</t>
  </si>
  <si>
    <t xml:space="preserve">UD de diseño</t>
  </si>
  <si>
    <t xml:space="preserve">Ø adoptado</t>
  </si>
  <si>
    <t xml:space="preserve">Pendiente S</t>
  </si>
  <si>
    <t xml:space="preserve">Capacidad (UD)</t>
  </si>
  <si>
    <t xml:space="preserve">Verificación</t>
  </si>
  <si>
    <t xml:space="preserve">Ramal de baño completo (WC + lavamanos + ducha + sifón)</t>
  </si>
  <si>
    <t xml:space="preserve">—</t>
  </si>
  <si>
    <t xml:space="preserve">Ramal cocina + BBQ → trampa de grasas</t>
  </si>
  <si>
    <t xml:space="preserve">Ramal zona de ropas (lavadero + lavadora + sifón)</t>
  </si>
  <si>
    <t xml:space="preserve">3"</t>
  </si>
  <si>
    <t xml:space="preserve">Bajante sanitaria (aplica si Np &gt; 1)</t>
  </si>
  <si>
    <t xml:space="preserve">Colector principal → tanque séptico</t>
  </si>
  <si>
    <t xml:space="preserve">3. VERIFICACIONES COMPLEMENTARIAS</t>
  </si>
  <si>
    <t xml:space="preserve">Ø de ramal/colector que recibe sanitarios ≥ 3" (se adopta 4")</t>
  </si>
  <si>
    <t xml:space="preserve">NTC 1500</t>
  </si>
  <si>
    <t xml:space="preserve">Pendiente del colector entre 1 % y 4 %</t>
  </si>
  <si>
    <t xml:space="preserve">NTC 1500 – desagües horizontales</t>
  </si>
  <si>
    <t xml:space="preserve">Ø de la columna de ventilación principal</t>
  </si>
  <si>
    <t xml:space="preserve">Lista desplegable</t>
  </si>
  <si>
    <t xml:space="preserve">Ventilación ≥ MÁX(1-1/2"; ½ Ø bajante/colector)</t>
  </si>
  <si>
    <t xml:space="preserve">NTC 1500 – sistemas de ventilación</t>
  </si>
  <si>
    <t xml:space="preserve">Cajas de inspección: en cada cambio de dirección, unión de colectores y a distancias ≤ 15 m (criterio usual); dimensiones internas mínimas 0,60 × 0,60 m, con cañuela y tapa hermética. Sifón en todo aparato; tubería de ventilación prolongada ≥ 0,30 m sobre cubierta.</t>
  </si>
  <si>
    <t xml:space="preserve">DRENAJE DE AGUAS LLUVIAS – MÉTODO RACIONAL</t>
  </si>
  <si>
    <t xml:space="preserve">Las aguas lluvias se conducen por red independiente y NO deben ingresar al sistema séptico. Disposición propuesta: cuneta / zona verde de infiltración o almacenamiento para riego (PENDIENTE definir con planos y topografía).</t>
  </si>
  <si>
    <t xml:space="preserve">1. INTENSIDAD DE DISEÑO – CURVA IDF REGIONAL (VARGAS Y DÍAZ-GRANADOS, 1998 – REGIÓN ANDINA)</t>
  </si>
  <si>
    <t xml:space="preserve">Coeficiente a</t>
  </si>
  <si>
    <t xml:space="preserve">a</t>
  </si>
  <si>
    <t xml:space="preserve">Región Andina (R1)</t>
  </si>
  <si>
    <t xml:space="preserve">Coeficiente b</t>
  </si>
  <si>
    <t xml:space="preserve">b</t>
  </si>
  <si>
    <t xml:space="preserve">Coeficiente c</t>
  </si>
  <si>
    <t xml:space="preserve">c</t>
  </si>
  <si>
    <t xml:space="preserve">Coeficiente d</t>
  </si>
  <si>
    <t xml:space="preserve">d</t>
  </si>
  <si>
    <t xml:space="preserve">Precipitación máxima promedio anual en 24 h</t>
  </si>
  <si>
    <t xml:space="preserve">M</t>
  </si>
  <si>
    <t xml:space="preserve">mm</t>
  </si>
  <si>
    <t xml:space="preserve">PENDIENTE: estación IDEAM / CVC más cercana</t>
  </si>
  <si>
    <t xml:space="preserve">Período de retorno</t>
  </si>
  <si>
    <t xml:space="preserve">Tr</t>
  </si>
  <si>
    <t xml:space="preserve">Criterio para drenaje de edificaciones (≥ 5 años)</t>
  </si>
  <si>
    <t xml:space="preserve">Tiempo de concentración</t>
  </si>
  <si>
    <t xml:space="preserve">tc</t>
  </si>
  <si>
    <t xml:space="preserve">min</t>
  </si>
  <si>
    <t xml:space="preserve">Cubiertas y patios pequeños (5–10 min)</t>
  </si>
  <si>
    <t xml:space="preserve">Intensidad i = a·Tr^b·M^d / (tc/60)^c</t>
  </si>
  <si>
    <t xml:space="preserve">mm/h</t>
  </si>
  <si>
    <t xml:space="preserve">Intensidad mínima de diseño</t>
  </si>
  <si>
    <t xml:space="preserve">imín</t>
  </si>
  <si>
    <t xml:space="preserve">Criterio del diseñador</t>
  </si>
  <si>
    <t xml:space="preserve">1.10</t>
  </si>
  <si>
    <t xml:space="preserve">Intensidad de diseño adoptada = MÁX(i; imín)</t>
  </si>
  <si>
    <t xml:space="preserve">id</t>
  </si>
  <si>
    <t xml:space="preserve">2. CAUDALES DE ESCORRENTÍA – Q = C·i·A / 3.600</t>
  </si>
  <si>
    <t xml:space="preserve">Coeficiente de escorrentía – cubierta</t>
  </si>
  <si>
    <t xml:space="preserve">Cc</t>
  </si>
  <si>
    <t xml:space="preserve">RAS 2000 Tabla D.4.5 (cubiertas 0,75–0,95)</t>
  </si>
  <si>
    <t xml:space="preserve">Caudal de cubierta</t>
  </si>
  <si>
    <t xml:space="preserve">Qc</t>
  </si>
  <si>
    <t xml:space="preserve">Área de cubierta: hoja Datos</t>
  </si>
  <si>
    <t xml:space="preserve">Coeficiente de escorrentía – patios / terrazas duras</t>
  </si>
  <si>
    <t xml:space="preserve">RAS 2000 Tabla D.4.5 (pavimentos 0,70–0,95)</t>
  </si>
  <si>
    <t xml:space="preserve">Caudal de patios</t>
  </si>
  <si>
    <t xml:space="preserve">Qp</t>
  </si>
  <si>
    <t xml:space="preserve">Caudal total de aguas lluvias</t>
  </si>
  <si>
    <t xml:space="preserve">Qll</t>
  </si>
  <si>
    <t xml:space="preserve">3. CANALES DE CUBIERTA (SECCIÓN RECTANGULAR – MANNING)</t>
  </si>
  <si>
    <t xml:space="preserve">Número de canales</t>
  </si>
  <si>
    <t xml:space="preserve">nc</t>
  </si>
  <si>
    <t xml:space="preserve">Caudal por canal = Qc / nc</t>
  </si>
  <si>
    <t xml:space="preserve">qc</t>
  </si>
  <si>
    <t xml:space="preserve">Ancho del canal</t>
  </si>
  <si>
    <t xml:space="preserve">m</t>
  </si>
  <si>
    <t xml:space="preserve">Altura del canal</t>
  </si>
  <si>
    <t xml:space="preserve">h</t>
  </si>
  <si>
    <t xml:space="preserve">Lámina máxima de diseño (fracción de h)</t>
  </si>
  <si>
    <t xml:space="preserve">y/h</t>
  </si>
  <si>
    <t xml:space="preserve">Borde libre ≥ 25 %</t>
  </si>
  <si>
    <t xml:space="preserve">Coeficiente de Manning (lámina galvanizada / PVC)</t>
  </si>
  <si>
    <t xml:space="preserve">Pendiente del canal</t>
  </si>
  <si>
    <t xml:space="preserve">S</t>
  </si>
  <si>
    <t xml:space="preserve">m/m</t>
  </si>
  <si>
    <t xml:space="preserve">0,5 % mínimo recomendado</t>
  </si>
  <si>
    <t xml:space="preserve">Área hidráulica = b·y</t>
  </si>
  <si>
    <t xml:space="preserve">A</t>
  </si>
  <si>
    <t xml:space="preserve">Radio hidráulico = A / (b + 2y)</t>
  </si>
  <si>
    <t xml:space="preserve">R</t>
  </si>
  <si>
    <t xml:space="preserve">Capacidad = (1/n)·A·R^(2/3)·S^(1/2)</t>
  </si>
  <si>
    <t xml:space="preserve">Qcap</t>
  </si>
  <si>
    <t xml:space="preserve">3.11</t>
  </si>
  <si>
    <t xml:space="preserve">Capacidad del canal ≥ caudal por canal</t>
  </si>
  <si>
    <t xml:space="preserve">4. BAJANTES DE AGUAS LLUVIAS</t>
  </si>
  <si>
    <t xml:space="preserve">Número de bajantes</t>
  </si>
  <si>
    <t xml:space="preserve">nb</t>
  </si>
  <si>
    <t xml:space="preserve">Diámetro de bajante</t>
  </si>
  <si>
    <t xml:space="preserve">Ø</t>
  </si>
  <si>
    <t xml:space="preserve">Área de cubierta por bajante = Ac / nb</t>
  </si>
  <si>
    <t xml:space="preserve">Ab</t>
  </si>
  <si>
    <t xml:space="preserve">Área máxima por bajante = A25,4 × 25,4 / id</t>
  </si>
  <si>
    <t xml:space="preserve">Amáx</t>
  </si>
  <si>
    <t xml:space="preserve">IPC Tabla 1106.2 (hoja Tablas)</t>
  </si>
  <si>
    <t xml:space="preserve">Área drenada por bajante ≤ área máxima</t>
  </si>
  <si>
    <t xml:space="preserve">El colector pluvial se verifica en la hoja Hidraulica_Colectores.</t>
  </si>
  <si>
    <t xml:space="preserve">VERIFICACIÓN HIDRÁULICA DE COLECTORES – MANNING, TUBO PARCIALMENTE LLENO</t>
  </si>
  <si>
    <t xml:space="preserve">Caudal de desagües sanitarios por curva de Hunter aplicada a las UD acumuladas; caudal pluvial por método racional.</t>
  </si>
  <si>
    <t xml:space="preserve">1. PARÁMETROS DE DISEÑO</t>
  </si>
  <si>
    <t xml:space="preserve">Coeficiente de Manning PVC</t>
  </si>
  <si>
    <t xml:space="preserve">RAS 2000 / Res. 0330/2017 – PVC n = 0,009</t>
  </si>
  <si>
    <t xml:space="preserve">Velocidad mínima</t>
  </si>
  <si>
    <t xml:space="preserve">m/s</t>
  </si>
  <si>
    <t xml:space="preserve">RAS 2000 Título D (autolimpieza)</t>
  </si>
  <si>
    <t xml:space="preserve">Velocidad máxima</t>
  </si>
  <si>
    <t xml:space="preserve">RAS 2000 / Res. 0330/2017 (PVC)</t>
  </si>
  <si>
    <t xml:space="preserve">Esfuerzo cortante mínimo</t>
  </si>
  <si>
    <t xml:space="preserve">Pa</t>
  </si>
  <si>
    <t xml:space="preserve">Res. 0330/2017 (autolimpieza)</t>
  </si>
  <si>
    <t xml:space="preserve">Relación y/D máxima</t>
  </si>
  <si>
    <t xml:space="preserve">Criterio de diseño (Res. 0330/2017 admite hasta 0,85)</t>
  </si>
  <si>
    <t xml:space="preserve">2. VERIFICACIÓN POR TRAMOS</t>
  </si>
  <si>
    <t xml:space="preserve">Tramo</t>
  </si>
  <si>
    <t xml:space="preserve">Q diseño (L/s)</t>
  </si>
  <si>
    <t xml:space="preserve">Ø nominal</t>
  </si>
  <si>
    <t xml:space="preserve">Ø interno (m)</t>
  </si>
  <si>
    <t xml:space="preserve">S (m/m)</t>
  </si>
  <si>
    <t xml:space="preserve">Q tubo lleno (L/s)</t>
  </si>
  <si>
    <t xml:space="preserve">V tubo lleno (m/s)</t>
  </si>
  <si>
    <t xml:space="preserve">Q/Qo</t>
  </si>
  <si>
    <t xml:space="preserve">y/D</t>
  </si>
  <si>
    <t xml:space="preserve">V/Vo</t>
  </si>
  <si>
    <t xml:space="preserve">V real (m/s)</t>
  </si>
  <si>
    <t xml:space="preserve">R/Ro</t>
  </si>
  <si>
    <t xml:space="preserve">R (m)</t>
  </si>
  <si>
    <t xml:space="preserve">τ (Pa)</t>
  </si>
  <si>
    <t xml:space="preserve">Verif. y/D</t>
  </si>
  <si>
    <t xml:space="preserve">Verif. V</t>
  </si>
  <si>
    <t xml:space="preserve">Verif. τ</t>
  </si>
  <si>
    <t xml:space="preserve">C1</t>
  </si>
  <si>
    <t xml:space="preserve">C2</t>
  </si>
  <si>
    <t xml:space="preserve">C3</t>
  </si>
  <si>
    <t xml:space="preserve">Tanque séptico → FAFA → campo de infiltración</t>
  </si>
  <si>
    <t xml:space="preserve">C4</t>
  </si>
  <si>
    <t xml:space="preserve">Colector pluvial → disposición</t>
  </si>
  <si>
    <t xml:space="preserve">6"</t>
  </si>
  <si>
    <t xml:space="preserve">Relación y/D ≤ máxima en todos los colectores</t>
  </si>
  <si>
    <t xml:space="preserve">Velocidad entre Vmín y Vmáx en todos los colectores</t>
  </si>
  <si>
    <t xml:space="preserve">Esfuerzo cortante ≥ τmín en todos los colectores</t>
  </si>
  <si>
    <t xml:space="preserve">Qo = (1/n)·A·R^(2/3)·S^(1/2) a tubo lleno; y/D, V/Vo y R/Ro por interpolación en la tabla de relaciones hidráulicas (hoja Tablas); τ = γ·R·S con γ = 9.810 N/m³.</t>
  </si>
  <si>
    <t xml:space="preserve">TRAMPA DE GRASAS (RAS 2000 TÍTULO E – SISTEMAS IN SITU)</t>
  </si>
  <si>
    <t xml:space="preserve">1. CAUDAL DE DISEÑO</t>
  </si>
  <si>
    <t xml:space="preserve">Aparatos conectados (lavaplatos cocina + BBQ)</t>
  </si>
  <si>
    <t xml:space="preserve">na</t>
  </si>
  <si>
    <t xml:space="preserve">Hoja Datos</t>
  </si>
  <si>
    <t xml:space="preserve">Caudal unitario de descarga por lavaplatos</t>
  </si>
  <si>
    <t xml:space="preserve">qa</t>
  </si>
  <si>
    <t xml:space="preserve">Criterio usual (lavaplatos doméstico)</t>
  </si>
  <si>
    <t xml:space="preserve">Caudal de diseño = na × qa</t>
  </si>
  <si>
    <t xml:space="preserve">Qtg</t>
  </si>
  <si>
    <t xml:space="preserve">2. VOLUMEN</t>
  </si>
  <si>
    <t xml:space="preserve">Tiempo de retención hidráulico</t>
  </si>
  <si>
    <t xml:space="preserve">TRH</t>
  </si>
  <si>
    <t xml:space="preserve">RAS 2000 Título E: 2–9 L/s: 3 min; 10–19 L/s: 4 min; ≥ 20 L/s: 5 min (se adopta 3 min como mínimo)</t>
  </si>
  <si>
    <t xml:space="preserve">Volumen hidráulico = Qtg × TRH</t>
  </si>
  <si>
    <t xml:space="preserve">Vh</t>
  </si>
  <si>
    <t xml:space="preserve">L</t>
  </si>
  <si>
    <t xml:space="preserve">Capacidad mínima adoptada (acumulación de grasas entre limpiezas)</t>
  </si>
  <si>
    <t xml:space="preserve">Vmín</t>
  </si>
  <si>
    <t xml:space="preserve">Criterio de diseño para vivienda</t>
  </si>
  <si>
    <t xml:space="preserve">Volumen de diseño = MÁX(Vh; Vmín)</t>
  </si>
  <si>
    <t xml:space="preserve">Vtg</t>
  </si>
  <si>
    <t xml:space="preserve">3. DIMENSIONES</t>
  </si>
  <si>
    <t xml:space="preserve">Ancho útil</t>
  </si>
  <si>
    <t xml:space="preserve">B</t>
  </si>
  <si>
    <t xml:space="preserve">Largo útil</t>
  </si>
  <si>
    <t xml:space="preserve">Profundidad útil</t>
  </si>
  <si>
    <t xml:space="preserve">Más borde libre ≥ 0,30 m</t>
  </si>
  <si>
    <t xml:space="preserve">Volumen útil construido = B·L·h</t>
  </si>
  <si>
    <t xml:space="preserve">Vc</t>
  </si>
  <si>
    <t xml:space="preserve">Volumen construido ≥ volumen de diseño</t>
  </si>
  <si>
    <t xml:space="preserve">Área superficial = B·L</t>
  </si>
  <si>
    <t xml:space="preserve">Área superficial ≥ 0,25 m² por cada L/s</t>
  </si>
  <si>
    <t xml:space="preserve">RAS 2000 Título E – trampas de grasa</t>
  </si>
  <si>
    <t xml:space="preserve">Velocidad ascendente = Qtg / A</t>
  </si>
  <si>
    <t xml:space="preserve">va</t>
  </si>
  <si>
    <t xml:space="preserve">mm/s</t>
  </si>
  <si>
    <t xml:space="preserve">Velocidad ascendente ≤ 4 mm/s</t>
  </si>
  <si>
    <t xml:space="preserve">Entrada por codo/tee sumergido y salida por tee con extremo inferior a ≥ 0,15 m del fondo; tapa removible para limpieza; limpieza periódica (mensual) y disposición de grasas con gestor autorizado.</t>
  </si>
  <si>
    <t xml:space="preserve">TANQUE SÉPTICO (RAS 2000 TÍTULO E / NBR 7229)</t>
  </si>
  <si>
    <t xml:space="preserve">1. PARÁMETROS</t>
  </si>
  <si>
    <t xml:space="preserve">Contribución diaria</t>
  </si>
  <si>
    <t xml:space="preserve">Hoja Caudales_AR</t>
  </si>
  <si>
    <t xml:space="preserve">Período de retención T = f(Cd)</t>
  </si>
  <si>
    <t xml:space="preserve">NBR 7229 Tabla 2 (hoja Tablas)</t>
  </si>
  <si>
    <t xml:space="preserve">Intervalo de limpieza</t>
  </si>
  <si>
    <t xml:space="preserve">nl</t>
  </si>
  <si>
    <t xml:space="preserve">Entre 1 y 5 años</t>
  </si>
  <si>
    <t xml:space="preserve">Intervalo de limpieza entero entre 1 y 5 años</t>
  </si>
  <si>
    <t xml:space="preserve">NBR 7229 Tabla 3</t>
  </si>
  <si>
    <t xml:space="preserve">Rango de temperatura (1: ≤10 °C; 2: 10–20 °C; 3: &gt;20 °C)</t>
  </si>
  <si>
    <t xml:space="preserve">T media: hoja Datos</t>
  </si>
  <si>
    <t xml:space="preserve">Tasa de acumulación de lodo digerido K</t>
  </si>
  <si>
    <t xml:space="preserve">K</t>
  </si>
  <si>
    <t xml:space="preserve">Contribución de lodo fresco ΣN·Lf</t>
  </si>
  <si>
    <t xml:space="preserve">2. VOLUMEN ÚTIL</t>
  </si>
  <si>
    <t xml:space="preserve">V = 1.000 + Cd·T + K·ΣN·Lf</t>
  </si>
  <si>
    <t xml:space="preserve">V</t>
  </si>
  <si>
    <t xml:space="preserve">RAS 2000 Título E (fórmula NBR 7229)</t>
  </si>
  <si>
    <t xml:space="preserve">Volumen útil</t>
  </si>
  <si>
    <t xml:space="preserve">m³</t>
  </si>
  <si>
    <t xml:space="preserve">3. GEOMETRÍA (DOS CÁMARAS EN SERIE)</t>
  </si>
  <si>
    <t xml:space="preserve">Profundidad útil mínima</t>
  </si>
  <si>
    <t xml:space="preserve">hmín</t>
  </si>
  <si>
    <t xml:space="preserve">NBR 7229 Tabla 4</t>
  </si>
  <si>
    <t xml:space="preserve">Profundidad útil máxima</t>
  </si>
  <si>
    <t xml:space="preserve">hmáx</t>
  </si>
  <si>
    <t xml:space="preserve">Profundidad útil dentro del rango</t>
  </si>
  <si>
    <t xml:space="preserve">Ancho interno</t>
  </si>
  <si>
    <t xml:space="preserve">Ancho interno ≥ 0,80 m</t>
  </si>
  <si>
    <t xml:space="preserve">NBR 7229</t>
  </si>
  <si>
    <t xml:space="preserve">Largo requerido = V / (h·B)</t>
  </si>
  <si>
    <t xml:space="preserve">Lreq</t>
  </si>
  <si>
    <t xml:space="preserve">Largo interno adoptado</t>
  </si>
  <si>
    <t xml:space="preserve">Relación L / B</t>
  </si>
  <si>
    <t xml:space="preserve">L/B</t>
  </si>
  <si>
    <t xml:space="preserve">Relación L/B entre 2:1 y 4:1</t>
  </si>
  <si>
    <t xml:space="preserve">RAS 2000 Título E / NBR 7229</t>
  </si>
  <si>
    <t xml:space="preserve">Volumen útil construido = h·B·L</t>
  </si>
  <si>
    <t xml:space="preserve">3.12</t>
  </si>
  <si>
    <t xml:space="preserve">Volumen construido ≥ volumen útil requerido</t>
  </si>
  <si>
    <t xml:space="preserve">3.13</t>
  </si>
  <si>
    <t xml:space="preserve">Largo cámara 1 (2/3 L)</t>
  </si>
  <si>
    <t xml:space="preserve">L1</t>
  </si>
  <si>
    <t xml:space="preserve">3.14</t>
  </si>
  <si>
    <t xml:space="preserve">Largo cámara 2 (1/3 L)</t>
  </si>
  <si>
    <t xml:space="preserve">L2</t>
  </si>
  <si>
    <t xml:space="preserve">3.15</t>
  </si>
  <si>
    <t xml:space="preserve">Borde libre</t>
  </si>
  <si>
    <t xml:space="preserve">bl</t>
  </si>
  <si>
    <t xml:space="preserve">3.16</t>
  </si>
  <si>
    <t xml:space="preserve">Altura interna total = h + bl</t>
  </si>
  <si>
    <t xml:space="preserve">Ht</t>
  </si>
  <si>
    <t xml:space="preserve">Entrada con tee a 0,05 m sobre la salida; dispositivos de entrada y salida con inmersión ≈ 1/3 h; tabique con paso a 2/3 h; tapas de inspección sobre cada cámara; tubería de ventilación. Lodos retirados por gestor autorizado cada nl años (Decreto 1076/2015).</t>
  </si>
  <si>
    <t xml:space="preserve">FILTRO ANAEROBIO DE FLUJO ASCENDENTE (FAFA) – NBR 13969 / RAS 2000 TÍTULO E</t>
  </si>
  <si>
    <t xml:space="preserve">1. VOLUMEN</t>
  </si>
  <si>
    <t xml:space="preserve">Rango de temperatura (1: &lt;15 °C; 2: 15–25 °C; 3: &gt;25 °C)</t>
  </si>
  <si>
    <t xml:space="preserve">Fila de contribución en tabla</t>
  </si>
  <si>
    <t xml:space="preserve">Tiempo de retención hidráulico T</t>
  </si>
  <si>
    <t xml:space="preserve">NBR 13969 Tabla 4</t>
  </si>
  <si>
    <t xml:space="preserve">Volumen útil calculado V = 1,6·Cd·T</t>
  </si>
  <si>
    <t xml:space="preserve">NBR 13969</t>
  </si>
  <si>
    <t xml:space="preserve">Volumen útil de diseño = MÁX(V; 1.000 L)</t>
  </si>
  <si>
    <t xml:space="preserve">Vd</t>
  </si>
  <si>
    <t xml:space="preserve">Volumen mínimo 1.000 L (NBR 13969)</t>
  </si>
  <si>
    <t xml:space="preserve">2. GEOMETRÍA</t>
  </si>
  <si>
    <t xml:space="preserve">Altura del lecho filtrante</t>
  </si>
  <si>
    <t xml:space="preserve">hl</t>
  </si>
  <si>
    <t xml:space="preserve">NBR 13969: 1,20 m</t>
  </si>
  <si>
    <t xml:space="preserve">Área en planta requerida = Vd / hl</t>
  </si>
  <si>
    <t xml:space="preserve">Areq</t>
  </si>
  <si>
    <t xml:space="preserve">Área construida = B·L</t>
  </si>
  <si>
    <t xml:space="preserve">Área construida ≥ área requerida</t>
  </si>
  <si>
    <t xml:space="preserve">Altura de fondo falso (cámara de distribución)</t>
  </si>
  <si>
    <t xml:space="preserve">hf</t>
  </si>
  <si>
    <t xml:space="preserve">NBR 13969 (≤ 0,60 m)</t>
  </si>
  <si>
    <t xml:space="preserve">Lámina sobre el lecho + canaleta de recolección</t>
  </si>
  <si>
    <t xml:space="preserve">Altura interna total</t>
  </si>
  <si>
    <t xml:space="preserve">Carga hidráulica superficial = Cd / Ac</t>
  </si>
  <si>
    <t xml:space="preserve">qs</t>
  </si>
  <si>
    <t xml:space="preserve">m³/m²·d</t>
  </si>
  <si>
    <t xml:space="preserve">Lecho de grava o piedra triturada N.° 4 (4–7 cm) o anillos plásticos; fondo falso perforado (orificios Ø 2,5 cm cada 15 cm, área de orificios ≤ 5 % del fondo); recolección del efluente por canaleta o tubería perforada en la superficie.</t>
  </si>
  <si>
    <t xml:space="preserve">3. EFICIENCIA ESPERADA DEL SISTEMA TS + FAFA (INFORMATIVO PARA PERMISO DE VERTIMIENTO CVC)</t>
  </si>
  <si>
    <t xml:space="preserve">Remoción DBO5 – tanque séptico</t>
  </si>
  <si>
    <t xml:space="preserve">Ets</t>
  </si>
  <si>
    <t xml:space="preserve">RAS 2000 Título E: 30–50 %</t>
  </si>
  <si>
    <t xml:space="preserve">Remoción SST – tanque séptico</t>
  </si>
  <si>
    <t xml:space="preserve">RAS 2000 Título E: 50–70 %</t>
  </si>
  <si>
    <t xml:space="preserve">Remoción DBO5 – FAFA</t>
  </si>
  <si>
    <t xml:space="preserve">Ef</t>
  </si>
  <si>
    <t xml:space="preserve">NBR 13969: 40–75 %</t>
  </si>
  <si>
    <t xml:space="preserve">Remoción SST – FAFA</t>
  </si>
  <si>
    <t xml:space="preserve">NBR 13969: 60–90 %</t>
  </si>
  <si>
    <t xml:space="preserve">Remoción global DBO5 = 1 − (1 − Ets)(1 − Ef)</t>
  </si>
  <si>
    <t xml:space="preserve">E</t>
  </si>
  <si>
    <t xml:space="preserve">Remoción global SST</t>
  </si>
  <si>
    <t xml:space="preserve">DBO5 efluente</t>
  </si>
  <si>
    <t xml:space="preserve">DBOe</t>
  </si>
  <si>
    <t xml:space="preserve">Afluente: hoja Caudales_AR</t>
  </si>
  <si>
    <t xml:space="preserve">SST efluente</t>
  </si>
  <si>
    <t xml:space="preserve">SSTe</t>
  </si>
  <si>
    <t xml:space="preserve">Comparar con los parámetros y valores aplicables de la Res. 699/2021 (vertimientos de ARD tratadas al suelo) y con los requisitos del trámite de permiso de vertimientos ante la CVC (Decreto 1076/2015, incluye evaluación ambiental del vertimiento y plan de gestión del riesgo).</t>
  </si>
  <si>
    <t xml:space="preserve">CAMPO DE INFILTRACIÓN (ZANJAS DE ABSORCIÓN)</t>
  </si>
  <si>
    <t xml:space="preserve">PENDIENTE: ejecutar prueba de percolación en sitio (mín. 3 perforaciones a la profundidad de las zanjas) y verificar nivel freático en época húmeda.</t>
  </si>
  <si>
    <t xml:space="preserve">1. CAPACIDAD DE ABSORCIÓN DEL SUELO</t>
  </si>
  <si>
    <t xml:space="preserve">Caudal de efluente a infiltrar</t>
  </si>
  <si>
    <t xml:space="preserve">Q</t>
  </si>
  <si>
    <t xml:space="preserve">Tasa de percolación medida (tiempo para descenso de 1 cm)</t>
  </si>
  <si>
    <t xml:space="preserve">tp</t>
  </si>
  <si>
    <t xml:space="preserve">min/cm</t>
  </si>
  <si>
    <t xml:space="preserve">PENDIENTE ensayo de percolación</t>
  </si>
  <si>
    <t xml:space="preserve">Tasa de percolación en min/pulgada</t>
  </si>
  <si>
    <t xml:space="preserve">min/in</t>
  </si>
  <si>
    <t xml:space="preserve">Suelo apto: 1 ≤ tp ≤ 60 min/in</t>
  </si>
  <si>
    <t xml:space="preserve">USPHS (1967): &gt; 60 min/in no apto; &lt; 1 min/in riesgo de contaminación</t>
  </si>
  <si>
    <t xml:space="preserve">Tasa de aplicación = 5 / √tp [gal/ft²·d] × 40,74</t>
  </si>
  <si>
    <t xml:space="preserve">L/m²·d</t>
  </si>
  <si>
    <t xml:space="preserve">USPHS Manual of Septic-Tank Practice (1967)</t>
  </si>
  <si>
    <t xml:space="preserve">Área de absorción requerida = Q / qa</t>
  </si>
  <si>
    <t xml:space="preserve">Solo fondo de zanja (conservador)</t>
  </si>
  <si>
    <t xml:space="preserve">2. ZANJAS</t>
  </si>
  <si>
    <t xml:space="preserve">Ancho de zanja</t>
  </si>
  <si>
    <t xml:space="preserve">0,45–0,90 m</t>
  </si>
  <si>
    <t xml:space="preserve">Ancho de zanja entre 0,45 y 0,90 m</t>
  </si>
  <si>
    <t xml:space="preserve">RAS 2000 Título E</t>
  </si>
  <si>
    <t xml:space="preserve">Longitud total requerida = Areq / b</t>
  </si>
  <si>
    <t xml:space="preserve">Longitud máxima por zanja</t>
  </si>
  <si>
    <t xml:space="preserve">Lmáx</t>
  </si>
  <si>
    <t xml:space="preserve">RAS 2000 Título E: ≤ 30 m</t>
  </si>
  <si>
    <t xml:space="preserve">Longitud máxima por zanja ≤ 30 m</t>
  </si>
  <si>
    <t xml:space="preserve">Número de zanjas = REDONDEAR.MAS(Lreq / Lmáx)</t>
  </si>
  <si>
    <t xml:space="preserve">nz</t>
  </si>
  <si>
    <t xml:space="preserve">Longitud adoptada por zanja (redondeada al m)</t>
  </si>
  <si>
    <t xml:space="preserve">Lz</t>
  </si>
  <si>
    <t xml:space="preserve">Longitud total instalada = nz × Lz</t>
  </si>
  <si>
    <t xml:space="preserve">Linst</t>
  </si>
  <si>
    <t xml:space="preserve">Longitud instalada ≥ longitud requerida</t>
  </si>
  <si>
    <t xml:space="preserve">Separación entre ejes de zanjas</t>
  </si>
  <si>
    <t xml:space="preserve">sz</t>
  </si>
  <si>
    <t xml:space="preserve">≥ 2,0 m (criterio RAS 2000 / USPHS)</t>
  </si>
  <si>
    <t xml:space="preserve">Separación entre zanjas ≥ 2,0 m</t>
  </si>
  <si>
    <t xml:space="preserve">Profundidad de zanja (fondo)</t>
  </si>
  <si>
    <t xml:space="preserve">pz</t>
  </si>
  <si>
    <t xml:space="preserve">2.13</t>
  </si>
  <si>
    <t xml:space="preserve">Profundidad de zanja entre 0,45 y 0,90 m</t>
  </si>
  <si>
    <t xml:space="preserve">2.14</t>
  </si>
  <si>
    <t xml:space="preserve">Profundidad del nivel freático estacional máximo</t>
  </si>
  <si>
    <t xml:space="preserve">NF</t>
  </si>
  <si>
    <t xml:space="preserve">PENDIENTE: apique / sondeo</t>
  </si>
  <si>
    <t xml:space="preserve">2.15</t>
  </si>
  <si>
    <t xml:space="preserve">Separación fondo de zanja – nivel freático</t>
  </si>
  <si>
    <t xml:space="preserve">Δ</t>
  </si>
  <si>
    <t xml:space="preserve">2.16</t>
  </si>
  <si>
    <t xml:space="preserve">Separación al nivel freático ≥ 1,20 m</t>
  </si>
  <si>
    <t xml:space="preserve">2.17</t>
  </si>
  <si>
    <t xml:space="preserve">Pendiente de tubería perforada de distribución (Ø 4")</t>
  </si>
  <si>
    <t xml:space="preserve">0,2 %–0,5 %</t>
  </si>
  <si>
    <t xml:space="preserve">2.18</t>
  </si>
  <si>
    <t xml:space="preserve">Pendiente de distribución entre 0,2 % y 0,5 %</t>
  </si>
  <si>
    <t xml:space="preserve">3. DISTANCIAS MÍNIMAS (VERIFICAR EN PLANO DE IMPLANTACIÓN)</t>
  </si>
  <si>
    <t xml:space="preserve">Campo a cuerpo de agua / nacimiento / quebrada – distancia en proyecto</t>
  </si>
  <si>
    <t xml:space="preserve">PENDIENTE: plano de implantación</t>
  </si>
  <si>
    <t xml:space="preserve">Campo a cuerpo de agua / nacimiento / quebrada – distancia mínima</t>
  </si>
  <si>
    <t xml:space="preserve">Ronda hídrica ≥ 30 m (Decreto 1076/2015; acotamiento CVC)</t>
  </si>
  <si>
    <t xml:space="preserve">Campo a cuerpo de agua / nacimiento / quebrada ≥ distancia mínima</t>
  </si>
  <si>
    <t xml:space="preserve">Campo a pozo o aljibe de abastecimiento – distancia en proyecto</t>
  </si>
  <si>
    <t xml:space="preserve">Campo a pozo o aljibe de abastecimiento – distancia mínima</t>
  </si>
  <si>
    <t xml:space="preserve">Criterio de referencia RAS 2000 Título E</t>
  </si>
  <si>
    <t xml:space="preserve">Campo a pozo o aljibe de abastecimiento ≥ distancia mínima</t>
  </si>
  <si>
    <t xml:space="preserve">Campo a vivienda / edificaciones – distancia en proyecto</t>
  </si>
  <si>
    <t xml:space="preserve">Campo a vivienda / edificaciones – distancia mínima</t>
  </si>
  <si>
    <t xml:space="preserve">Criterio de referencia</t>
  </si>
  <si>
    <t xml:space="preserve">Campo a vivienda / edificaciones ≥ distancia mínima</t>
  </si>
  <si>
    <t xml:space="preserve">Tanque séptico a vivienda – distancia en proyecto</t>
  </si>
  <si>
    <t xml:space="preserve">Tanque séptico a vivienda – distancia mínima</t>
  </si>
  <si>
    <t xml:space="preserve">Criterio de referencia NBR 7229</t>
  </si>
  <si>
    <t xml:space="preserve">Tanque séptico a vivienda ≥ distancia mínima</t>
  </si>
  <si>
    <t xml:space="preserve">Campo a lindero del predio – distancia en proyecto</t>
  </si>
  <si>
    <t xml:space="preserve">Campo a lindero del predio – distancia mínima</t>
  </si>
  <si>
    <t xml:space="preserve">Campo a lindero del predio ≥ distancia mínima</t>
  </si>
  <si>
    <t xml:space="preserve">Campo a tubería de agua potable – distancia en proyecto</t>
  </si>
  <si>
    <t xml:space="preserve">3.17</t>
  </si>
  <si>
    <t xml:space="preserve">Campo a tubería de agua potable – distancia mínima</t>
  </si>
  <si>
    <t xml:space="preserve">3.18</t>
  </si>
  <si>
    <t xml:space="preserve">Campo a tubería de agua potable ≥ distancia mínima</t>
  </si>
  <si>
    <t xml:space="preserve">RESUMEN DE RESULTADOS Y VERIFICACIONES</t>
  </si>
  <si>
    <t xml:space="preserve">1. RESULTADOS PRINCIPALES</t>
  </si>
  <si>
    <t xml:space="preserve">Nivel de complejidad (RAS 2000)</t>
  </si>
  <si>
    <t xml:space="preserve">Población con pernoctación (diseño)</t>
  </si>
  <si>
    <t xml:space="preserve">Población total de diseño</t>
  </si>
  <si>
    <t xml:space="preserve">Dotación neta adoptada – residencial</t>
  </si>
  <si>
    <t xml:space="preserve">Consumo neto total</t>
  </si>
  <si>
    <t xml:space="preserve">Caudal medio diario de ARD</t>
  </si>
  <si>
    <t xml:space="preserve">Contribución diaria al sistema in situ</t>
  </si>
  <si>
    <t xml:space="preserve">Unidades de descarga totales</t>
  </si>
  <si>
    <t xml:space="preserve">UD</t>
  </si>
  <si>
    <t xml:space="preserve">Intensidad de diseño de lluvia</t>
  </si>
  <si>
    <t xml:space="preserve">1.11</t>
  </si>
  <si>
    <t xml:space="preserve">1.12</t>
  </si>
  <si>
    <t xml:space="preserve">Volumen de trampa de grasas</t>
  </si>
  <si>
    <t xml:space="preserve">1.13</t>
  </si>
  <si>
    <t xml:space="preserve">Volumen útil tanque séptico</t>
  </si>
  <si>
    <t xml:space="preserve">1.14</t>
  </si>
  <si>
    <t xml:space="preserve">Largo interno tanque séptico (2 cámaras)</t>
  </si>
  <si>
    <t xml:space="preserve">1.15</t>
  </si>
  <si>
    <t xml:space="preserve">Ancho interno tanque séptico</t>
  </si>
  <si>
    <t xml:space="preserve">1.16</t>
  </si>
  <si>
    <t xml:space="preserve">Profundidad útil tanque séptico</t>
  </si>
  <si>
    <t xml:space="preserve">1.17</t>
  </si>
  <si>
    <t xml:space="preserve">Volumen útil FAFA</t>
  </si>
  <si>
    <t xml:space="preserve">1.18</t>
  </si>
  <si>
    <t xml:space="preserve">Remoción global DBO5 (TS + FAFA)</t>
  </si>
  <si>
    <t xml:space="preserve">1.19</t>
  </si>
  <si>
    <t xml:space="preserve">Tasa de aplicación del suelo</t>
  </si>
  <si>
    <t xml:space="preserve">1.20</t>
  </si>
  <si>
    <t xml:space="preserve">Área de absorción requerida</t>
  </si>
  <si>
    <t xml:space="preserve">1.21</t>
  </si>
  <si>
    <t xml:space="preserve">Número de zanjas</t>
  </si>
  <si>
    <t xml:space="preserve">1.22</t>
  </si>
  <si>
    <t xml:space="preserve">Longitud por zanja</t>
  </si>
  <si>
    <t xml:space="preserve">2. VERIFICACIONES NORMATIVAS Y DE CRITERIO</t>
  </si>
  <si>
    <t xml:space="preserve">Hoja</t>
  </si>
  <si>
    <t xml:space="preserve">Resultado</t>
  </si>
  <si>
    <t xml:space="preserve">Observación</t>
  </si>
  <si>
    <t xml:space="preserve">Poblacion</t>
  </si>
  <si>
    <t xml:space="preserve">Caudales_AR</t>
  </si>
  <si>
    <t xml:space="preserve">Capacidad del ramal de baño</t>
  </si>
  <si>
    <t xml:space="preserve">UD_Desagues</t>
  </si>
  <si>
    <t xml:space="preserve">Capacidad del ramal de cocina</t>
  </si>
  <si>
    <t xml:space="preserve">Capacidad del ramal de ropas</t>
  </si>
  <si>
    <t xml:space="preserve">Capacidad de la bajante</t>
  </si>
  <si>
    <t xml:space="preserve">Capacidad del colector principal</t>
  </si>
  <si>
    <t xml:space="preserve">Aguas_Lluvias</t>
  </si>
  <si>
    <t xml:space="preserve">Hidraulica_Colectores</t>
  </si>
  <si>
    <t xml:space="preserve">Trampa_Grasas</t>
  </si>
  <si>
    <t xml:space="preserve">Tanque_Septico</t>
  </si>
  <si>
    <t xml:space="preserve">FAFA</t>
  </si>
  <si>
    <t xml:space="preserve">Campo_Infiltracion</t>
  </si>
  <si>
    <t xml:space="preserve">Número de verificaciones que NO CUMPLEN</t>
  </si>
  <si>
    <t xml:space="preserve">Debe ser 0 para aprobar el diseño</t>
  </si>
  <si>
    <t xml:space="preserve">ESTADO GLOBAL DEL DISEÑO</t>
  </si>
  <si>
    <t xml:space="preserve">Todas las verificaciones deben cumplir</t>
  </si>
  <si>
    <t xml:space="preserve">TABLAS DE REFERENCIA</t>
  </si>
  <si>
    <t xml:space="preserve">1. CURVA DE HUNTER – GASTO PROBABLE (TANQUE)</t>
  </si>
  <si>
    <t xml:space="preserve">Hunter (1940). Fuente: IPC Tabla E103.3(3), aparatos con tanque. Conversión 1 gpm = 0,0631 L/s. Método de gastos probables aceptado por NTC 1500.</t>
  </si>
  <si>
    <t xml:space="preserve">Unidades (UC / UD)</t>
  </si>
  <si>
    <t xml:space="preserve">Q (gpm)</t>
  </si>
  <si>
    <t xml:space="preserve">Q (L/s)</t>
  </si>
  <si>
    <t xml:space="preserve">2. RAS 2000 – NIVEL DE COMPLEJIDAD Y PARÁMETROS ASOCIADOS</t>
  </si>
  <si>
    <t xml:space="preserve">Tabla A.3.1 (nivel por población), B.2.2 (dotación neta mín./máx.), B.2.4 (pérdidas técnicas máx.), B.2.5 (k1), B.2.6 (k2, red menor de distribución), período de diseño (RAS 2000).</t>
  </si>
  <si>
    <t xml:space="preserve">Nivel</t>
  </si>
  <si>
    <t xml:space="preserve">Población desde (hab)</t>
  </si>
  <si>
    <t xml:space="preserve">Dot. neta mín. (L/hab·d)</t>
  </si>
  <si>
    <t xml:space="preserve">Dot. neta máx. (L/hab·d)</t>
  </si>
  <si>
    <t xml:space="preserve">% pérdidas máx.</t>
  </si>
  <si>
    <t xml:space="preserve">k1</t>
  </si>
  <si>
    <t xml:space="preserve">k2</t>
  </si>
  <si>
    <t xml:space="preserve">Período diseño (años)</t>
  </si>
  <si>
    <t xml:space="preserve">BAJO</t>
  </si>
  <si>
    <t xml:space="preserve">MEDIO</t>
  </si>
  <si>
    <t xml:space="preserve">MEDIO ALTO</t>
  </si>
  <si>
    <t xml:space="preserve">ALTO</t>
  </si>
  <si>
    <t xml:space="preserve">3. TUBERÍA PVC SANITARIA – DIÁMETROS INTERNOS</t>
  </si>
  <si>
    <t xml:space="preserve">Valores típicos de catálogo PVC sanitaria (NTC 1087). Verificar con el fabricante seleccionado.</t>
  </si>
  <si>
    <t xml:space="preserve">Ø (pulg)</t>
  </si>
  <si>
    <t xml:space="preserve">Ø externo (mm)</t>
  </si>
  <si>
    <t xml:space="preserve">Espesor (mm)</t>
  </si>
  <si>
    <t xml:space="preserve">Ø interno (mm)</t>
  </si>
  <si>
    <t xml:space="preserve">4. CAPACIDAD MÁXIMA DE DESAGÜES EN UNIDADES DE DESCARGA (UD)</t>
  </si>
  <si>
    <t xml:space="preserve">IPC Tablas 710.1(1) y 710.1(2) – criterio de referencia equivalente a NTC 1500 (ramales horizontales, bajantes de hasta 3 intervalos y colectores de edificación según pendiente). 0 = no permitido.</t>
  </si>
  <si>
    <t xml:space="preserve">Ramal horizontal (UD)</t>
  </si>
  <si>
    <t xml:space="preserve">Bajante ≤ 3 intervalos (UD)</t>
  </si>
  <si>
    <t xml:space="preserve">Colector S = 1 % (UD)</t>
  </si>
  <si>
    <t xml:space="preserve">Colector S = 2 % (UD)</t>
  </si>
  <si>
    <t xml:space="preserve">5. BAJANTES DE AGUAS LLUVIAS – ÁREA MÁXIMA DRENADA</t>
  </si>
  <si>
    <t xml:space="preserve">IPC Tabla 1106.2 – área para intensidad de 25,4 mm/h (1 in/h); se corrige por la intensidad de diseño: A = A25,4 × 25,4 / i.</t>
  </si>
  <si>
    <t xml:space="preserve">Área (ft²) a 25,4 mm/h</t>
  </si>
  <si>
    <t xml:space="preserve">Área (m²) a 25,4 mm/h</t>
  </si>
  <si>
    <t xml:space="preserve">6. TANQUE SÉPTICO – TIEMPO DE RETENCIÓN T (RAS 2000 TÍTULO E / NBR 7229 TABLA 2)</t>
  </si>
  <si>
    <t xml:space="preserve">Contribución diaria desde (L/d)</t>
  </si>
  <si>
    <t xml:space="preserve">T (d)</t>
  </si>
  <si>
    <t xml:space="preserve">7. TANQUE SÉPTICO – TASA DE ACUMULACIÓN DE LODO DIGERIDO K (NBR 7229 TABLA 3)</t>
  </si>
  <si>
    <t xml:space="preserve">Intervalo de limpieza (años)</t>
  </si>
  <si>
    <t xml:space="preserve">K: T ≤ 10 °C</t>
  </si>
  <si>
    <t xml:space="preserve">K: 10 &lt; T ≤ 20 °C</t>
  </si>
  <si>
    <t xml:space="preserve">K: T &gt; 20 °C</t>
  </si>
  <si>
    <t xml:space="preserve">8. TANQUE SÉPTICO – PROFUNDIDAD ÚTIL (NBR 7229 TABLA 4)</t>
  </si>
  <si>
    <t xml:space="preserve">Volumen útil desde (m³)</t>
  </si>
  <si>
    <t xml:space="preserve">h mín (m)</t>
  </si>
  <si>
    <t xml:space="preserve">h máx (m)</t>
  </si>
  <si>
    <t xml:space="preserve">9. FILTRO ANAEROBIO (FAFA) – TIEMPO DE RETENCIÓN T (NBR 13969 TABLA 4)</t>
  </si>
  <si>
    <t xml:space="preserve">T (d): T &lt; 15 °C</t>
  </si>
  <si>
    <t xml:space="preserve">T (d): 15–25 °C</t>
  </si>
  <si>
    <t xml:space="preserve">T (d): &gt; 25 °C</t>
  </si>
  <si>
    <t xml:space="preserve">10. RELACIONES HIDRÁULICAS – TUBERÍA CIRCULAR PARCIALMENTE LLENA (MANNING)</t>
  </si>
  <si>
    <t xml:space="preserve">θ = 2·arccos(1 − 2y/D); A/Ao = (θ − sen θ)/2π; P/Po = θ/2π; R/Ro = (A/Ao)/(P/Po); V/Vo = (R/Ro)^(2/3); Q/Qo = (A/Ao)(V/Vo).</t>
  </si>
  <si>
    <t xml:space="preserve">θ (rad)</t>
  </si>
  <si>
    <t xml:space="preserve">A/Ao</t>
  </si>
  <si>
    <t xml:space="preserve">P/Po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</si>
</sst>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"/>
    <numFmt numFmtId="167" formatCode="0"/>
    <numFmt numFmtId="168" formatCode="0%"/>
    <numFmt numFmtId="169" formatCode="#,##0.0"/>
    <numFmt numFmtId="170" formatCode="0.00"/>
    <numFmt numFmtId="171" formatCode="0.0000"/>
    <numFmt numFmtId="172" formatCode="0.0%"/>
    <numFmt numFmtId="173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25.5" hidden="false" customHeight="true" outlineLevel="0" collapsed="false">
      <c r="B5" s="4" t="s">
        <v>3</v>
      </c>
      <c r="C5" s="4"/>
      <c r="D5" s="4"/>
      <c r="E5" s="4"/>
      <c r="F5" s="4"/>
    </row>
    <row r="6" customFormat="false" ht="12.75" hidden="false" customHeight="true" outlineLevel="0" collapsed="false">
      <c r="B6" s="5" t="s">
        <v>4</v>
      </c>
      <c r="C6" s="5"/>
      <c r="D6" s="5"/>
      <c r="E6" s="5"/>
      <c r="F6" s="5"/>
    </row>
    <row r="8" customFormat="false" ht="15" hidden="false" customHeight="false" outlineLevel="0" collapsed="false">
      <c r="A8" s="6" t="s">
        <v>5</v>
      </c>
      <c r="B8" s="6"/>
      <c r="C8" s="6"/>
      <c r="D8" s="6"/>
      <c r="E8" s="6"/>
      <c r="F8" s="6"/>
    </row>
    <row r="9" customFormat="false" ht="15" hidden="false" customHeight="false" outlineLevel="0" collapsed="false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</row>
    <row r="10" customFormat="false" ht="35.05" hidden="false" customHeight="false" outlineLevel="0" collapsed="false">
      <c r="A10" s="8" t="s">
        <v>12</v>
      </c>
      <c r="B10" s="9" t="s">
        <v>13</v>
      </c>
      <c r="C10" s="8"/>
      <c r="D10" s="10" t="s">
        <v>14</v>
      </c>
      <c r="E10" s="8"/>
      <c r="F10" s="11"/>
    </row>
    <row r="11" customFormat="false" ht="23.85" hidden="false" customHeight="false" outlineLevel="0" collapsed="false">
      <c r="A11" s="8" t="s">
        <v>15</v>
      </c>
      <c r="B11" s="9" t="s">
        <v>16</v>
      </c>
      <c r="C11" s="8"/>
      <c r="D11" s="10" t="s">
        <v>17</v>
      </c>
      <c r="E11" s="8"/>
      <c r="F11" s="11"/>
    </row>
    <row r="12" customFormat="false" ht="46.25" hidden="false" customHeight="false" outlineLevel="0" collapsed="false">
      <c r="A12" s="8" t="s">
        <v>18</v>
      </c>
      <c r="B12" s="9" t="s">
        <v>19</v>
      </c>
      <c r="C12" s="8"/>
      <c r="D12" s="10" t="s">
        <v>20</v>
      </c>
      <c r="E12" s="8"/>
      <c r="F12" s="11" t="s">
        <v>21</v>
      </c>
    </row>
    <row r="13" customFormat="false" ht="15" hidden="false" customHeight="false" outlineLevel="0" collapsed="false">
      <c r="A13" s="8" t="s">
        <v>22</v>
      </c>
      <c r="B13" s="9" t="s">
        <v>23</v>
      </c>
      <c r="C13" s="8" t="s">
        <v>24</v>
      </c>
      <c r="D13" s="12" t="n">
        <v>1400</v>
      </c>
      <c r="E13" s="8" t="s">
        <v>25</v>
      </c>
      <c r="F13" s="11" t="s">
        <v>26</v>
      </c>
    </row>
    <row r="14" customFormat="false" ht="15" hidden="false" customHeight="false" outlineLevel="0" collapsed="false">
      <c r="A14" s="8" t="s">
        <v>27</v>
      </c>
      <c r="B14" s="9" t="s">
        <v>28</v>
      </c>
      <c r="C14" s="8" t="s">
        <v>29</v>
      </c>
      <c r="D14" s="13" t="n">
        <v>20</v>
      </c>
      <c r="E14" s="8" t="s">
        <v>30</v>
      </c>
      <c r="F14" s="11" t="s">
        <v>31</v>
      </c>
    </row>
    <row r="15" customFormat="false" ht="57.45" hidden="false" customHeight="false" outlineLevel="0" collapsed="false">
      <c r="A15" s="8" t="s">
        <v>32</v>
      </c>
      <c r="B15" s="9" t="s">
        <v>33</v>
      </c>
      <c r="C15" s="8"/>
      <c r="D15" s="10" t="s">
        <v>34</v>
      </c>
      <c r="E15" s="8"/>
      <c r="F15" s="11" t="s">
        <v>35</v>
      </c>
    </row>
    <row r="16" customFormat="false" ht="46.25" hidden="false" customHeight="false" outlineLevel="0" collapsed="false">
      <c r="A16" s="8" t="s">
        <v>36</v>
      </c>
      <c r="B16" s="9" t="s">
        <v>37</v>
      </c>
      <c r="C16" s="8"/>
      <c r="D16" s="10" t="s">
        <v>38</v>
      </c>
      <c r="E16" s="8"/>
      <c r="F16" s="11" t="s">
        <v>39</v>
      </c>
    </row>
    <row r="17" customFormat="false" ht="57.45" hidden="false" customHeight="false" outlineLevel="0" collapsed="false">
      <c r="A17" s="8" t="s">
        <v>40</v>
      </c>
      <c r="B17" s="9" t="s">
        <v>41</v>
      </c>
      <c r="C17" s="8"/>
      <c r="D17" s="10" t="s">
        <v>42</v>
      </c>
      <c r="E17" s="8"/>
      <c r="F17" s="11" t="s">
        <v>43</v>
      </c>
    </row>
    <row r="18" customFormat="false" ht="35.05" hidden="false" customHeight="false" outlineLevel="0" collapsed="false">
      <c r="A18" s="8" t="s">
        <v>44</v>
      </c>
      <c r="B18" s="9" t="s">
        <v>45</v>
      </c>
      <c r="C18" s="8"/>
      <c r="D18" s="10" t="s">
        <v>46</v>
      </c>
      <c r="E18" s="8"/>
      <c r="F18" s="11"/>
    </row>
    <row r="20" customFormat="false" ht="15" hidden="false" customHeight="false" outlineLevel="0" collapsed="false">
      <c r="A20" s="6" t="s">
        <v>47</v>
      </c>
      <c r="B20" s="6"/>
      <c r="C20" s="6"/>
      <c r="D20" s="6"/>
      <c r="E20" s="6"/>
      <c r="F20" s="6"/>
    </row>
    <row r="21" customFormat="false" ht="15" hidden="false" customHeight="false" outlineLevel="0" collapsed="false">
      <c r="A21" s="7" t="s">
        <v>6</v>
      </c>
      <c r="B21" s="7" t="s">
        <v>7</v>
      </c>
      <c r="C21" s="7" t="s">
        <v>8</v>
      </c>
      <c r="D21" s="7" t="s">
        <v>9</v>
      </c>
      <c r="E21" s="7" t="s">
        <v>10</v>
      </c>
      <c r="F21" s="7" t="s">
        <v>11</v>
      </c>
    </row>
    <row r="22" customFormat="false" ht="15" hidden="false" customHeight="false" outlineLevel="0" collapsed="false">
      <c r="A22" s="8" t="s">
        <v>48</v>
      </c>
      <c r="B22" s="9" t="s">
        <v>49</v>
      </c>
      <c r="C22" s="8" t="s">
        <v>50</v>
      </c>
      <c r="D22" s="14" t="n">
        <v>3</v>
      </c>
      <c r="E22" s="8" t="s">
        <v>51</v>
      </c>
      <c r="F22" s="11" t="s">
        <v>4</v>
      </c>
    </row>
    <row r="23" customFormat="false" ht="15" hidden="false" customHeight="false" outlineLevel="0" collapsed="false">
      <c r="A23" s="8" t="s">
        <v>52</v>
      </c>
      <c r="B23" s="9" t="s">
        <v>53</v>
      </c>
      <c r="C23" s="8" t="s">
        <v>54</v>
      </c>
      <c r="D23" s="14" t="n">
        <v>1</v>
      </c>
      <c r="E23" s="8" t="s">
        <v>51</v>
      </c>
      <c r="F23" s="11" t="s">
        <v>4</v>
      </c>
    </row>
    <row r="24" customFormat="false" ht="15" hidden="false" customHeight="false" outlineLevel="0" collapsed="false">
      <c r="A24" s="8" t="s">
        <v>55</v>
      </c>
      <c r="B24" s="9" t="s">
        <v>56</v>
      </c>
      <c r="C24" s="8" t="s">
        <v>57</v>
      </c>
      <c r="D24" s="14" t="n">
        <v>2</v>
      </c>
      <c r="E24" s="8" t="s">
        <v>51</v>
      </c>
      <c r="F24" s="11" t="s">
        <v>4</v>
      </c>
    </row>
    <row r="25" customFormat="false" ht="15" hidden="false" customHeight="false" outlineLevel="0" collapsed="false">
      <c r="A25" s="8" t="s">
        <v>58</v>
      </c>
      <c r="B25" s="9" t="s">
        <v>59</v>
      </c>
      <c r="C25" s="8" t="s">
        <v>60</v>
      </c>
      <c r="D25" s="14" t="n">
        <v>1</v>
      </c>
      <c r="E25" s="8" t="s">
        <v>51</v>
      </c>
      <c r="F25" s="11" t="s">
        <v>4</v>
      </c>
    </row>
    <row r="26" customFormat="false" ht="15" hidden="false" customHeight="false" outlineLevel="0" collapsed="false">
      <c r="A26" s="8" t="s">
        <v>61</v>
      </c>
      <c r="B26" s="9" t="s">
        <v>62</v>
      </c>
      <c r="C26" s="8" t="s">
        <v>63</v>
      </c>
      <c r="D26" s="14" t="n">
        <v>1</v>
      </c>
      <c r="E26" s="8" t="s">
        <v>51</v>
      </c>
      <c r="F26" s="11" t="s">
        <v>4</v>
      </c>
    </row>
    <row r="27" customFormat="false" ht="15" hidden="false" customHeight="false" outlineLevel="0" collapsed="false">
      <c r="A27" s="8" t="s">
        <v>64</v>
      </c>
      <c r="B27" s="9" t="s">
        <v>65</v>
      </c>
      <c r="C27" s="8" t="s">
        <v>66</v>
      </c>
      <c r="D27" s="14" t="n">
        <v>1</v>
      </c>
      <c r="E27" s="8" t="s">
        <v>51</v>
      </c>
      <c r="F27" s="11" t="s">
        <v>4</v>
      </c>
    </row>
    <row r="28" customFormat="false" ht="15" hidden="false" customHeight="false" outlineLevel="0" collapsed="false">
      <c r="A28" s="8" t="s">
        <v>67</v>
      </c>
      <c r="B28" s="9" t="s">
        <v>68</v>
      </c>
      <c r="C28" s="8" t="s">
        <v>69</v>
      </c>
      <c r="D28" s="14" t="n">
        <v>1</v>
      </c>
      <c r="E28" s="8" t="s">
        <v>51</v>
      </c>
      <c r="F28" s="11" t="s">
        <v>4</v>
      </c>
    </row>
    <row r="29" customFormat="false" ht="15" hidden="false" customHeight="false" outlineLevel="0" collapsed="false">
      <c r="A29" s="8" t="s">
        <v>70</v>
      </c>
      <c r="B29" s="9" t="s">
        <v>71</v>
      </c>
      <c r="C29" s="8" t="s">
        <v>72</v>
      </c>
      <c r="D29" s="14" t="n">
        <v>2</v>
      </c>
      <c r="E29" s="8" t="s">
        <v>51</v>
      </c>
      <c r="F29" s="11" t="s">
        <v>4</v>
      </c>
    </row>
    <row r="30" customFormat="false" ht="15" hidden="false" customHeight="false" outlineLevel="0" collapsed="false">
      <c r="A30" s="8" t="s">
        <v>73</v>
      </c>
      <c r="B30" s="9" t="s">
        <v>74</v>
      </c>
      <c r="C30" s="8" t="s">
        <v>75</v>
      </c>
      <c r="D30" s="14" t="n">
        <v>1</v>
      </c>
      <c r="E30" s="8" t="s">
        <v>51</v>
      </c>
      <c r="F30" s="11" t="s">
        <v>4</v>
      </c>
    </row>
    <row r="31" customFormat="false" ht="15" hidden="false" customHeight="false" outlineLevel="0" collapsed="false">
      <c r="A31" s="8" t="s">
        <v>76</v>
      </c>
      <c r="B31" s="9" t="s">
        <v>77</v>
      </c>
      <c r="C31" s="8" t="s">
        <v>78</v>
      </c>
      <c r="D31" s="13" t="n">
        <v>180</v>
      </c>
      <c r="E31" s="8" t="s">
        <v>79</v>
      </c>
      <c r="F31" s="11" t="s">
        <v>4</v>
      </c>
    </row>
    <row r="32" customFormat="false" ht="15" hidden="false" customHeight="false" outlineLevel="0" collapsed="false">
      <c r="A32" s="8" t="s">
        <v>80</v>
      </c>
      <c r="B32" s="9" t="s">
        <v>81</v>
      </c>
      <c r="C32" s="8" t="s">
        <v>82</v>
      </c>
      <c r="D32" s="13" t="n">
        <v>40</v>
      </c>
      <c r="E32" s="8" t="s">
        <v>79</v>
      </c>
      <c r="F32" s="11" t="s">
        <v>4</v>
      </c>
    </row>
    <row r="33" customFormat="false" ht="15" hidden="false" customHeight="false" outlineLevel="0" collapsed="false">
      <c r="A33" s="8" t="s">
        <v>83</v>
      </c>
      <c r="B33" s="9" t="s">
        <v>84</v>
      </c>
      <c r="C33" s="8" t="s">
        <v>85</v>
      </c>
      <c r="D33" s="13" t="n">
        <v>300</v>
      </c>
      <c r="E33" s="8" t="s">
        <v>79</v>
      </c>
      <c r="F33" s="11" t="s">
        <v>4</v>
      </c>
    </row>
    <row r="35" customFormat="false" ht="15" hidden="false" customHeight="false" outlineLevel="0" collapsed="false">
      <c r="A35" s="6" t="s">
        <v>86</v>
      </c>
      <c r="B35" s="6"/>
      <c r="C35" s="6"/>
      <c r="D35" s="6"/>
      <c r="E35" s="6"/>
      <c r="F35" s="6"/>
    </row>
    <row r="36" customFormat="false" ht="25.5" hidden="false" customHeight="true" outlineLevel="0" collapsed="false">
      <c r="B36" s="4" t="s">
        <v>87</v>
      </c>
      <c r="C36" s="4"/>
      <c r="D36" s="4"/>
      <c r="E36" s="4"/>
      <c r="F36" s="4"/>
    </row>
    <row r="37" customFormat="false" ht="25.5" hidden="false" customHeight="true" outlineLevel="0" collapsed="false">
      <c r="B37" s="4" t="s">
        <v>88</v>
      </c>
      <c r="C37" s="4"/>
      <c r="D37" s="4"/>
      <c r="E37" s="4"/>
      <c r="F37" s="4"/>
    </row>
    <row r="38" customFormat="false" ht="25.5" hidden="false" customHeight="true" outlineLevel="0" collapsed="false">
      <c r="B38" s="4" t="s">
        <v>89</v>
      </c>
      <c r="C38" s="4"/>
      <c r="D38" s="4"/>
      <c r="E38" s="4"/>
      <c r="F38" s="4"/>
    </row>
    <row r="39" customFormat="false" ht="12.75" hidden="false" customHeight="true" outlineLevel="0" collapsed="false">
      <c r="B39" s="4" t="s">
        <v>90</v>
      </c>
      <c r="C39" s="4"/>
      <c r="D39" s="4"/>
      <c r="E39" s="4"/>
      <c r="F39" s="4"/>
    </row>
    <row r="40" customFormat="false" ht="12.75" hidden="false" customHeight="true" outlineLevel="0" collapsed="false">
      <c r="B40" s="4" t="s">
        <v>91</v>
      </c>
      <c r="C40" s="4"/>
      <c r="D40" s="4"/>
      <c r="E40" s="4"/>
      <c r="F40" s="4"/>
    </row>
    <row r="41" customFormat="false" ht="39" hidden="false" customHeight="true" outlineLevel="0" collapsed="false">
      <c r="B41" s="4" t="s">
        <v>92</v>
      </c>
      <c r="C41" s="4"/>
      <c r="D41" s="4"/>
      <c r="E41" s="4"/>
      <c r="F41" s="4"/>
    </row>
    <row r="43" customFormat="false" ht="25.5" hidden="false" customHeight="true" outlineLevel="0" collapsed="false">
      <c r="B43" s="5" t="s">
        <v>93</v>
      </c>
      <c r="C43" s="5"/>
      <c r="D43" s="5"/>
      <c r="E43" s="5"/>
      <c r="F43" s="5"/>
    </row>
  </sheetData>
  <mergeCells count="15">
    <mergeCell ref="A1:F1"/>
    <mergeCell ref="A2:F2"/>
    <mergeCell ref="A3:F3"/>
    <mergeCell ref="B5:F5"/>
    <mergeCell ref="B6:F6"/>
    <mergeCell ref="A8:F8"/>
    <mergeCell ref="A20:F20"/>
    <mergeCell ref="A35:F35"/>
    <mergeCell ref="B36:F36"/>
    <mergeCell ref="B37:F37"/>
    <mergeCell ref="B38:F38"/>
    <mergeCell ref="B39:F39"/>
    <mergeCell ref="B40:F40"/>
    <mergeCell ref="B41:F41"/>
    <mergeCell ref="B43:F43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25.5" hidden="false" customHeight="true" outlineLevel="0" collapsed="false">
      <c r="B5" s="4" t="s">
        <v>95</v>
      </c>
      <c r="C5" s="4"/>
      <c r="D5" s="4"/>
      <c r="E5" s="4"/>
      <c r="F5" s="4"/>
    </row>
    <row r="7" customFormat="false" ht="15" hidden="false" customHeight="false" outlineLevel="0" collapsed="false">
      <c r="A7" s="6" t="s">
        <v>96</v>
      </c>
      <c r="B7" s="6"/>
      <c r="C7" s="6"/>
      <c r="D7" s="6"/>
      <c r="E7" s="6"/>
      <c r="F7" s="6"/>
    </row>
    <row r="8" customFormat="false" ht="15" hidden="false" customHeight="fals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customFormat="false" ht="15" hidden="false" customHeight="false" outlineLevel="0" collapsed="false">
      <c r="A9" s="8" t="s">
        <v>12</v>
      </c>
      <c r="B9" s="9" t="s">
        <v>97</v>
      </c>
      <c r="C9" s="8" t="s">
        <v>98</v>
      </c>
      <c r="D9" s="13" t="n">
        <v>2</v>
      </c>
      <c r="E9" s="8" t="s">
        <v>99</v>
      </c>
      <c r="F9" s="11" t="s">
        <v>100</v>
      </c>
    </row>
    <row r="10" customFormat="false" ht="15" hidden="false" customHeight="false" outlineLevel="0" collapsed="false">
      <c r="A10" s="8" t="s">
        <v>15</v>
      </c>
      <c r="B10" s="9" t="s">
        <v>101</v>
      </c>
      <c r="C10" s="8" t="s">
        <v>102</v>
      </c>
      <c r="D10" s="13" t="n">
        <v>1</v>
      </c>
      <c r="E10" s="8" t="s">
        <v>99</v>
      </c>
      <c r="F10" s="11" t="s">
        <v>103</v>
      </c>
    </row>
    <row r="11" customFormat="false" ht="23.85" hidden="false" customHeight="false" outlineLevel="0" collapsed="false">
      <c r="A11" s="8" t="s">
        <v>18</v>
      </c>
      <c r="B11" s="9" t="s">
        <v>104</v>
      </c>
      <c r="C11" s="8" t="s">
        <v>105</v>
      </c>
      <c r="D11" s="14" t="n">
        <v>4</v>
      </c>
      <c r="E11" s="8" t="s">
        <v>106</v>
      </c>
      <c r="F11" s="11" t="s">
        <v>107</v>
      </c>
    </row>
    <row r="12" customFormat="false" ht="23.85" hidden="false" customHeight="false" outlineLevel="0" collapsed="false">
      <c r="A12" s="8" t="s">
        <v>22</v>
      </c>
      <c r="B12" s="9" t="s">
        <v>108</v>
      </c>
      <c r="C12" s="8" t="s">
        <v>109</v>
      </c>
      <c r="D12" s="14" t="n">
        <v>2</v>
      </c>
      <c r="E12" s="8" t="s">
        <v>110</v>
      </c>
      <c r="F12" s="11" t="s">
        <v>111</v>
      </c>
    </row>
    <row r="14" customFormat="false" ht="15" hidden="false" customHeight="false" outlineLevel="0" collapsed="false">
      <c r="A14" s="6" t="s">
        <v>112</v>
      </c>
      <c r="B14" s="6"/>
      <c r="C14" s="6"/>
      <c r="D14" s="6"/>
      <c r="E14" s="6"/>
      <c r="F14" s="6"/>
    </row>
    <row r="15" customFormat="false" ht="15" hidden="false" customHeight="false" outlineLevel="0" collapsed="false">
      <c r="A15" s="7" t="s">
        <v>6</v>
      </c>
      <c r="B15" s="7" t="s">
        <v>7</v>
      </c>
      <c r="C15" s="7" t="s">
        <v>8</v>
      </c>
      <c r="D15" s="7" t="s">
        <v>9</v>
      </c>
      <c r="E15" s="7" t="s">
        <v>10</v>
      </c>
      <c r="F15" s="7" t="s">
        <v>11</v>
      </c>
    </row>
    <row r="16" customFormat="false" ht="15" hidden="false" customHeight="false" outlineLevel="0" collapsed="false">
      <c r="A16" s="8" t="s">
        <v>48</v>
      </c>
      <c r="B16" s="9" t="s">
        <v>113</v>
      </c>
      <c r="C16" s="8" t="s">
        <v>114</v>
      </c>
      <c r="D16" s="15" t="n">
        <f aca="false">Datos!$D$22*$D$9</f>
        <v>6</v>
      </c>
      <c r="E16" s="8" t="s">
        <v>106</v>
      </c>
      <c r="F16" s="11" t="s">
        <v>115</v>
      </c>
    </row>
    <row r="17" customFormat="false" ht="15" hidden="false" customHeight="false" outlineLevel="0" collapsed="false">
      <c r="A17" s="8" t="s">
        <v>52</v>
      </c>
      <c r="B17" s="9" t="s">
        <v>116</v>
      </c>
      <c r="C17" s="8" t="s">
        <v>117</v>
      </c>
      <c r="D17" s="15" t="n">
        <f aca="false">Datos!$D$23*$D$10</f>
        <v>1</v>
      </c>
      <c r="E17" s="8" t="s">
        <v>106</v>
      </c>
      <c r="F17" s="11" t="s">
        <v>118</v>
      </c>
    </row>
    <row r="18" customFormat="false" ht="15" hidden="false" customHeight="false" outlineLevel="0" collapsed="false">
      <c r="A18" s="8" t="s">
        <v>55</v>
      </c>
      <c r="B18" s="9" t="s">
        <v>119</v>
      </c>
      <c r="C18" s="8" t="s">
        <v>120</v>
      </c>
      <c r="D18" s="15" t="n">
        <f aca="false">$D$11</f>
        <v>4</v>
      </c>
      <c r="E18" s="8" t="s">
        <v>106</v>
      </c>
      <c r="F18" s="11" t="s">
        <v>121</v>
      </c>
    </row>
    <row r="19" customFormat="false" ht="15" hidden="false" customHeight="false" outlineLevel="0" collapsed="false">
      <c r="A19" s="8" t="s">
        <v>58</v>
      </c>
      <c r="B19" s="9" t="s">
        <v>122</v>
      </c>
      <c r="C19" s="8" t="s">
        <v>123</v>
      </c>
      <c r="D19" s="16" t="n">
        <f aca="false">$D$16+$D$17+$D$18</f>
        <v>11</v>
      </c>
      <c r="E19" s="8" t="s">
        <v>106</v>
      </c>
      <c r="F19" s="11" t="s">
        <v>124</v>
      </c>
    </row>
    <row r="20" customFormat="false" ht="15" hidden="false" customHeight="false" outlineLevel="0" collapsed="false">
      <c r="A20" s="8" t="s">
        <v>61</v>
      </c>
      <c r="B20" s="9" t="s">
        <v>125</v>
      </c>
      <c r="C20" s="8" t="s">
        <v>126</v>
      </c>
      <c r="D20" s="15" t="n">
        <f aca="false">$D$12</f>
        <v>2</v>
      </c>
      <c r="E20" s="8" t="s">
        <v>110</v>
      </c>
      <c r="F20" s="11" t="s">
        <v>127</v>
      </c>
    </row>
    <row r="21" customFormat="false" ht="15" hidden="false" customHeight="false" outlineLevel="0" collapsed="false">
      <c r="A21" s="8" t="s">
        <v>64</v>
      </c>
      <c r="B21" s="9" t="s">
        <v>128</v>
      </c>
      <c r="C21" s="8" t="s">
        <v>129</v>
      </c>
      <c r="D21" s="16" t="n">
        <f aca="false">$D$19+$D$20</f>
        <v>13</v>
      </c>
      <c r="E21" s="8" t="s">
        <v>106</v>
      </c>
      <c r="F21" s="11"/>
    </row>
    <row r="23" customFormat="false" ht="15" hidden="false" customHeight="false" outlineLevel="0" collapsed="false">
      <c r="A23" s="6" t="s">
        <v>130</v>
      </c>
      <c r="B23" s="6"/>
      <c r="C23" s="6"/>
      <c r="D23" s="6"/>
      <c r="E23" s="6"/>
      <c r="F23" s="6"/>
    </row>
    <row r="24" customFormat="false" ht="15" hidden="false" customHeight="false" outlineLevel="0" collapsed="false">
      <c r="A24" s="7" t="s">
        <v>6</v>
      </c>
      <c r="B24" s="7" t="s">
        <v>7</v>
      </c>
      <c r="C24" s="7" t="s">
        <v>8</v>
      </c>
      <c r="D24" s="7" t="s">
        <v>9</v>
      </c>
      <c r="E24" s="7" t="s">
        <v>10</v>
      </c>
      <c r="F24" s="7" t="s">
        <v>11</v>
      </c>
    </row>
    <row r="25" customFormat="false" ht="15" hidden="false" customHeight="false" outlineLevel="0" collapsed="false">
      <c r="A25" s="8" t="s">
        <v>131</v>
      </c>
      <c r="B25" s="9" t="s">
        <v>132</v>
      </c>
      <c r="C25" s="8" t="s">
        <v>133</v>
      </c>
      <c r="D25" s="15" t="n">
        <f aca="false">MATCH($D$21,Tablas!$B$49:$B$52,1)</f>
        <v>1</v>
      </c>
      <c r="E25" s="8"/>
      <c r="F25" s="11" t="s">
        <v>134</v>
      </c>
    </row>
    <row r="26" customFormat="false" ht="15" hidden="false" customHeight="false" outlineLevel="0" collapsed="false">
      <c r="A26" s="8" t="s">
        <v>135</v>
      </c>
      <c r="B26" s="9" t="s">
        <v>136</v>
      </c>
      <c r="C26" s="8" t="s">
        <v>137</v>
      </c>
      <c r="D26" s="17" t="str">
        <f aca="false">INDEX(Tablas!$A$49:$A$52,$D$25)</f>
        <v>BAJO</v>
      </c>
      <c r="E26" s="8"/>
      <c r="F26" s="11" t="s">
        <v>138</v>
      </c>
    </row>
    <row r="27" customFormat="false" ht="22.35" hidden="false" customHeight="false" outlineLevel="0" collapsed="false">
      <c r="A27" s="8" t="s">
        <v>139</v>
      </c>
      <c r="B27" s="9" t="s">
        <v>140</v>
      </c>
      <c r="C27" s="8" t="s">
        <v>141</v>
      </c>
      <c r="D27" s="15" t="n">
        <f aca="false">INDEX(Tablas!$H$49:$H$52,$D$25)</f>
        <v>15</v>
      </c>
      <c r="E27" s="8" t="s">
        <v>142</v>
      </c>
      <c r="F27" s="11" t="s">
        <v>143</v>
      </c>
    </row>
    <row r="29" customFormat="false" ht="15" hidden="false" customHeight="false" outlineLevel="0" collapsed="false">
      <c r="A29" s="6" t="s">
        <v>144</v>
      </c>
      <c r="B29" s="6"/>
      <c r="C29" s="6"/>
      <c r="D29" s="6"/>
      <c r="E29" s="6"/>
      <c r="F29" s="6"/>
    </row>
    <row r="30" customFormat="false" ht="15" hidden="false" customHeight="false" outlineLevel="0" collapsed="false">
      <c r="A30" s="7" t="s">
        <v>6</v>
      </c>
      <c r="B30" s="7" t="s">
        <v>7</v>
      </c>
      <c r="C30" s="7" t="s">
        <v>8</v>
      </c>
      <c r="D30" s="7" t="s">
        <v>9</v>
      </c>
      <c r="E30" s="7" t="s">
        <v>10</v>
      </c>
      <c r="F30" s="7" t="s">
        <v>11</v>
      </c>
    </row>
    <row r="31" customFormat="false" ht="15" hidden="false" customHeight="false" outlineLevel="0" collapsed="false">
      <c r="A31" s="8" t="s">
        <v>145</v>
      </c>
      <c r="B31" s="9" t="s">
        <v>146</v>
      </c>
      <c r="C31" s="8" t="s">
        <v>147</v>
      </c>
      <c r="D31" s="15" t="n">
        <f aca="false">INDEX(Tablas!$C$49:$C$52,$D$25)</f>
        <v>100</v>
      </c>
      <c r="E31" s="8" t="s">
        <v>148</v>
      </c>
      <c r="F31" s="11" t="s">
        <v>149</v>
      </c>
    </row>
    <row r="32" customFormat="false" ht="15" hidden="false" customHeight="false" outlineLevel="0" collapsed="false">
      <c r="A32" s="8" t="s">
        <v>150</v>
      </c>
      <c r="B32" s="9" t="s">
        <v>151</v>
      </c>
      <c r="C32" s="8" t="s">
        <v>152</v>
      </c>
      <c r="D32" s="15" t="n">
        <f aca="false">INDEX(Tablas!$D$49:$D$52,$D$25)</f>
        <v>150</v>
      </c>
      <c r="E32" s="8" t="s">
        <v>148</v>
      </c>
      <c r="F32" s="11" t="s">
        <v>149</v>
      </c>
    </row>
    <row r="33" customFormat="false" ht="15" hidden="false" customHeight="false" outlineLevel="0" collapsed="false">
      <c r="A33" s="8" t="s">
        <v>153</v>
      </c>
      <c r="B33" s="9" t="s">
        <v>154</v>
      </c>
      <c r="C33" s="8" t="s">
        <v>155</v>
      </c>
      <c r="D33" s="14" t="n">
        <v>120</v>
      </c>
      <c r="E33" s="8" t="s">
        <v>148</v>
      </c>
      <c r="F33" s="11" t="s">
        <v>156</v>
      </c>
    </row>
    <row r="34" customFormat="false" ht="15" hidden="false" customHeight="false" outlineLevel="0" collapsed="false">
      <c r="A34" s="8" t="s">
        <v>157</v>
      </c>
      <c r="B34" s="9" t="s">
        <v>158</v>
      </c>
      <c r="C34" s="8" t="s">
        <v>159</v>
      </c>
      <c r="D34" s="18" t="str">
        <f aca="false">IF(AND($D$33&gt;=$D$31,$D$33&lt;=$D$32),"CUMPLE","NO CUMPLE")</f>
        <v>CUMPLE</v>
      </c>
      <c r="E34" s="8"/>
      <c r="F34" s="11" t="s">
        <v>149</v>
      </c>
    </row>
    <row r="35" customFormat="false" ht="22.35" hidden="false" customHeight="false" outlineLevel="0" collapsed="false">
      <c r="A35" s="8" t="s">
        <v>160</v>
      </c>
      <c r="B35" s="9" t="s">
        <v>161</v>
      </c>
      <c r="C35" s="8" t="s">
        <v>162</v>
      </c>
      <c r="D35" s="19" t="n">
        <f aca="false">IF(Datos!$D$14&gt;28,0.15,IF(Datos!$D$14&gt;=20,0.1,0))</f>
        <v>0.1</v>
      </c>
      <c r="E35" s="8" t="s">
        <v>163</v>
      </c>
      <c r="F35" s="11" t="s">
        <v>164</v>
      </c>
    </row>
    <row r="36" customFormat="false" ht="15" hidden="false" customHeight="false" outlineLevel="0" collapsed="false">
      <c r="A36" s="8" t="s">
        <v>165</v>
      </c>
      <c r="B36" s="9" t="s">
        <v>166</v>
      </c>
      <c r="C36" s="8" t="s">
        <v>167</v>
      </c>
      <c r="D36" s="20" t="n">
        <f aca="false">$D$33*(1+$D$35)</f>
        <v>132</v>
      </c>
      <c r="E36" s="8" t="s">
        <v>148</v>
      </c>
      <c r="F36" s="11"/>
    </row>
    <row r="37" customFormat="false" ht="15" hidden="false" customHeight="false" outlineLevel="0" collapsed="false">
      <c r="A37" s="8" t="s">
        <v>168</v>
      </c>
      <c r="B37" s="9" t="s">
        <v>169</v>
      </c>
      <c r="C37" s="8" t="s">
        <v>170</v>
      </c>
      <c r="D37" s="15" t="n">
        <f aca="false">IF(Datos!$D$13&gt;2000,120,IF(Datos!$D$13&gt;=1000,130,140))</f>
        <v>130</v>
      </c>
      <c r="E37" s="8" t="s">
        <v>148</v>
      </c>
      <c r="F37" s="11" t="s">
        <v>171</v>
      </c>
    </row>
    <row r="38" customFormat="false" ht="15" hidden="false" customHeight="false" outlineLevel="0" collapsed="false">
      <c r="A38" s="8" t="s">
        <v>172</v>
      </c>
      <c r="B38" s="9" t="s">
        <v>173</v>
      </c>
      <c r="C38" s="8" t="s">
        <v>174</v>
      </c>
      <c r="D38" s="21" t="n">
        <f aca="false">MIN($D$36,$D$37)</f>
        <v>130</v>
      </c>
      <c r="E38" s="8" t="s">
        <v>148</v>
      </c>
      <c r="F38" s="11" t="s">
        <v>175</v>
      </c>
    </row>
    <row r="39" customFormat="false" ht="15" hidden="false" customHeight="false" outlineLevel="0" collapsed="false">
      <c r="A39" s="8" t="s">
        <v>176</v>
      </c>
      <c r="B39" s="9" t="s">
        <v>177</v>
      </c>
      <c r="C39" s="8" t="s">
        <v>178</v>
      </c>
      <c r="D39" s="14" t="n">
        <v>50</v>
      </c>
      <c r="E39" s="8" t="s">
        <v>179</v>
      </c>
      <c r="F39" s="11" t="s">
        <v>180</v>
      </c>
    </row>
    <row r="41" customFormat="false" ht="15" hidden="false" customHeight="false" outlineLevel="0" collapsed="false">
      <c r="A41" s="6" t="s">
        <v>181</v>
      </c>
      <c r="B41" s="6"/>
      <c r="C41" s="6"/>
      <c r="D41" s="6"/>
      <c r="E41" s="6"/>
      <c r="F41" s="6"/>
    </row>
    <row r="42" customFormat="false" ht="39.75" hidden="false" customHeight="true" outlineLevel="0" collapsed="false">
      <c r="B42" s="7" t="s">
        <v>182</v>
      </c>
      <c r="C42" s="7" t="s">
        <v>183</v>
      </c>
      <c r="D42" s="7" t="s">
        <v>184</v>
      </c>
      <c r="E42" s="7" t="s">
        <v>185</v>
      </c>
    </row>
    <row r="43" customFormat="false" ht="15" hidden="false" customHeight="false" outlineLevel="0" collapsed="false">
      <c r="B43" s="9" t="s">
        <v>186</v>
      </c>
      <c r="C43" s="15" t="n">
        <f aca="false">$D$16</f>
        <v>6</v>
      </c>
      <c r="D43" s="20" t="n">
        <f aca="false">$D$38</f>
        <v>130</v>
      </c>
      <c r="E43" s="22" t="n">
        <f aca="false">C43*D43</f>
        <v>780</v>
      </c>
    </row>
    <row r="44" customFormat="false" ht="15" hidden="false" customHeight="false" outlineLevel="0" collapsed="false">
      <c r="B44" s="9" t="s">
        <v>187</v>
      </c>
      <c r="C44" s="15" t="n">
        <f aca="false">$D$17</f>
        <v>1</v>
      </c>
      <c r="D44" s="20" t="n">
        <f aca="false">$D$38</f>
        <v>130</v>
      </c>
      <c r="E44" s="22" t="n">
        <f aca="false">C44*D44</f>
        <v>130</v>
      </c>
    </row>
    <row r="45" customFormat="false" ht="15" hidden="false" customHeight="false" outlineLevel="0" collapsed="false">
      <c r="B45" s="9" t="s">
        <v>188</v>
      </c>
      <c r="C45" s="15" t="n">
        <f aca="false">$D$18</f>
        <v>4</v>
      </c>
      <c r="D45" s="20" t="n">
        <f aca="false">$D$38</f>
        <v>130</v>
      </c>
      <c r="E45" s="22" t="n">
        <f aca="false">C45*D45</f>
        <v>520</v>
      </c>
    </row>
    <row r="46" customFormat="false" ht="15" hidden="false" customHeight="false" outlineLevel="0" collapsed="false">
      <c r="B46" s="9" t="s">
        <v>189</v>
      </c>
      <c r="C46" s="15" t="n">
        <f aca="false">$D$20</f>
        <v>2</v>
      </c>
      <c r="D46" s="20" t="n">
        <f aca="false">$D$39</f>
        <v>50</v>
      </c>
      <c r="E46" s="22" t="n">
        <f aca="false">C46*D46</f>
        <v>100</v>
      </c>
    </row>
    <row r="47" customFormat="false" ht="15" hidden="false" customHeight="false" outlineLevel="0" collapsed="false">
      <c r="B47" s="23" t="s">
        <v>190</v>
      </c>
      <c r="C47" s="24" t="n">
        <f aca="false">SUM(C43:C46)</f>
        <v>13</v>
      </c>
      <c r="E47" s="25" t="n">
        <f aca="false">SUM(E43:E46)</f>
        <v>1530</v>
      </c>
    </row>
    <row r="49" customFormat="false" ht="15" hidden="false" customHeight="false" outlineLevel="0" collapsed="false">
      <c r="A49" s="8" t="s">
        <v>191</v>
      </c>
      <c r="B49" s="9" t="s">
        <v>192</v>
      </c>
      <c r="C49" s="8" t="s">
        <v>193</v>
      </c>
      <c r="D49" s="21" t="n">
        <f aca="false">$E$47/$D$38</f>
        <v>11.7692307692308</v>
      </c>
      <c r="E49" s="8" t="s">
        <v>194</v>
      </c>
      <c r="F49" s="11" t="s">
        <v>195</v>
      </c>
    </row>
  </sheetData>
  <mergeCells count="9">
    <mergeCell ref="A1:F1"/>
    <mergeCell ref="A2:F2"/>
    <mergeCell ref="A3:F3"/>
    <mergeCell ref="B5:F5"/>
    <mergeCell ref="A7:F7"/>
    <mergeCell ref="A14:F14"/>
    <mergeCell ref="A23:F23"/>
    <mergeCell ref="A29:F29"/>
    <mergeCell ref="A41:F41"/>
  </mergeCells>
  <conditionalFormatting sqref="D34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196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6" customFormat="false" ht="15" hidden="false" customHeight="false" outlineLevel="0" collapsed="false">
      <c r="A6" s="6" t="s">
        <v>197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customFormat="false" ht="15" hidden="false" customHeight="false" outlineLevel="0" collapsed="false">
      <c r="A8" s="8" t="s">
        <v>12</v>
      </c>
      <c r="B8" s="9" t="s">
        <v>198</v>
      </c>
      <c r="C8" s="8" t="s">
        <v>199</v>
      </c>
      <c r="D8" s="26" t="n">
        <v>0.85</v>
      </c>
      <c r="E8" s="8"/>
      <c r="F8" s="11" t="s">
        <v>200</v>
      </c>
    </row>
    <row r="10" customFormat="false" ht="15" hidden="false" customHeight="false" outlineLevel="0" collapsed="false">
      <c r="A10" s="6" t="s">
        <v>201</v>
      </c>
      <c r="B10" s="6"/>
      <c r="C10" s="6"/>
      <c r="D10" s="6"/>
      <c r="E10" s="6"/>
      <c r="F10" s="6"/>
    </row>
    <row r="11" customFormat="false" ht="15" hidden="false" customHeight="false" outlineLevel="0" collapsed="false">
      <c r="A11" s="7" t="s">
        <v>6</v>
      </c>
      <c r="B11" s="7" t="s">
        <v>7</v>
      </c>
      <c r="C11" s="7" t="s">
        <v>8</v>
      </c>
      <c r="D11" s="7" t="s">
        <v>9</v>
      </c>
      <c r="E11" s="7" t="s">
        <v>10</v>
      </c>
      <c r="F11" s="7" t="s">
        <v>11</v>
      </c>
    </row>
    <row r="12" customFormat="false" ht="15" hidden="false" customHeight="false" outlineLevel="0" collapsed="false">
      <c r="A12" s="8" t="s">
        <v>48</v>
      </c>
      <c r="B12" s="9" t="s">
        <v>202</v>
      </c>
      <c r="C12" s="8" t="s">
        <v>203</v>
      </c>
      <c r="D12" s="27" t="n">
        <f aca="false">$D$8*Poblacion!$E$47/86400</f>
        <v>0.0150520833333333</v>
      </c>
      <c r="E12" s="8" t="s">
        <v>204</v>
      </c>
      <c r="F12" s="11" t="s">
        <v>205</v>
      </c>
    </row>
    <row r="13" customFormat="false" ht="15" hidden="false" customHeight="false" outlineLevel="0" collapsed="false">
      <c r="A13" s="8" t="s">
        <v>52</v>
      </c>
      <c r="B13" s="9" t="s">
        <v>206</v>
      </c>
      <c r="C13" s="8" t="s">
        <v>207</v>
      </c>
      <c r="D13" s="28" t="n">
        <f aca="false">1+14/(4+SQRT(Poblacion!$D$21/1000))</f>
        <v>4.40299958746864</v>
      </c>
      <c r="E13" s="8"/>
      <c r="F13" s="11" t="s">
        <v>208</v>
      </c>
    </row>
    <row r="14" customFormat="false" ht="15" hidden="false" customHeight="false" outlineLevel="0" collapsed="false">
      <c r="A14" s="8" t="s">
        <v>55</v>
      </c>
      <c r="B14" s="9" t="s">
        <v>209</v>
      </c>
      <c r="C14" s="8" t="s">
        <v>210</v>
      </c>
      <c r="D14" s="29" t="n">
        <f aca="false">$D$13*$D$12</f>
        <v>0.0662743167072103</v>
      </c>
      <c r="E14" s="8" t="s">
        <v>204</v>
      </c>
      <c r="F14" s="11"/>
    </row>
    <row r="15" customFormat="false" ht="15" hidden="false" customHeight="false" outlineLevel="0" collapsed="false">
      <c r="A15" s="8" t="s">
        <v>58</v>
      </c>
      <c r="B15" s="9" t="s">
        <v>211</v>
      </c>
      <c r="C15" s="8" t="s">
        <v>212</v>
      </c>
      <c r="D15" s="30" t="n">
        <v>0</v>
      </c>
      <c r="E15" s="8" t="s">
        <v>204</v>
      </c>
      <c r="F15" s="11" t="s">
        <v>213</v>
      </c>
    </row>
    <row r="16" customFormat="false" ht="15" hidden="false" customHeight="false" outlineLevel="0" collapsed="false">
      <c r="A16" s="8" t="s">
        <v>61</v>
      </c>
      <c r="B16" s="9" t="s">
        <v>214</v>
      </c>
      <c r="C16" s="8" t="s">
        <v>215</v>
      </c>
      <c r="D16" s="30" t="n">
        <v>0</v>
      </c>
      <c r="E16" s="8" t="s">
        <v>204</v>
      </c>
      <c r="F16" s="11" t="s">
        <v>216</v>
      </c>
    </row>
    <row r="17" customFormat="false" ht="15" hidden="false" customHeight="false" outlineLevel="0" collapsed="false">
      <c r="A17" s="8" t="s">
        <v>64</v>
      </c>
      <c r="B17" s="9" t="s">
        <v>217</v>
      </c>
      <c r="C17" s="8" t="s">
        <v>218</v>
      </c>
      <c r="D17" s="27" t="n">
        <f aca="false">$D$14+$D$15+$D$16</f>
        <v>0.0662743167072103</v>
      </c>
      <c r="E17" s="8" t="s">
        <v>204</v>
      </c>
      <c r="F17" s="11" t="s">
        <v>219</v>
      </c>
    </row>
    <row r="19" customFormat="false" ht="15" hidden="false" customHeight="false" outlineLevel="0" collapsed="false">
      <c r="A19" s="6" t="s">
        <v>220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A20" s="7" t="s">
        <v>6</v>
      </c>
      <c r="B20" s="7" t="s">
        <v>7</v>
      </c>
      <c r="C20" s="7" t="s">
        <v>8</v>
      </c>
      <c r="D20" s="7" t="s">
        <v>9</v>
      </c>
      <c r="E20" s="7" t="s">
        <v>10</v>
      </c>
      <c r="F20" s="7" t="s">
        <v>11</v>
      </c>
    </row>
    <row r="21" customFormat="false" ht="15" hidden="false" customHeight="false" outlineLevel="0" collapsed="false">
      <c r="A21" s="8" t="s">
        <v>131</v>
      </c>
      <c r="B21" s="9" t="s">
        <v>221</v>
      </c>
      <c r="C21" s="8" t="s">
        <v>75</v>
      </c>
      <c r="D21" s="31" t="n">
        <f aca="false">Poblacion!$D$19</f>
        <v>11</v>
      </c>
      <c r="E21" s="8" t="s">
        <v>106</v>
      </c>
      <c r="F21" s="11" t="s">
        <v>222</v>
      </c>
    </row>
    <row r="22" customFormat="false" ht="15" hidden="false" customHeight="false" outlineLevel="0" collapsed="false">
      <c r="A22" s="8" t="s">
        <v>135</v>
      </c>
      <c r="B22" s="9" t="s">
        <v>223</v>
      </c>
      <c r="C22" s="8" t="s">
        <v>224</v>
      </c>
      <c r="D22" s="14" t="n">
        <v>130</v>
      </c>
      <c r="E22" s="8" t="s">
        <v>148</v>
      </c>
      <c r="F22" s="11" t="s">
        <v>225</v>
      </c>
    </row>
    <row r="23" customFormat="false" ht="15" hidden="false" customHeight="false" outlineLevel="0" collapsed="false">
      <c r="A23" s="8" t="s">
        <v>139</v>
      </c>
      <c r="B23" s="9" t="s">
        <v>226</v>
      </c>
      <c r="C23" s="8" t="s">
        <v>227</v>
      </c>
      <c r="D23" s="26" t="n">
        <v>1</v>
      </c>
      <c r="E23" s="8" t="s">
        <v>148</v>
      </c>
      <c r="F23" s="11" t="s">
        <v>228</v>
      </c>
    </row>
    <row r="24" customFormat="false" ht="15" hidden="false" customHeight="false" outlineLevel="0" collapsed="false">
      <c r="A24" s="8" t="s">
        <v>229</v>
      </c>
      <c r="B24" s="9" t="s">
        <v>230</v>
      </c>
      <c r="C24" s="8" t="s">
        <v>231</v>
      </c>
      <c r="D24" s="31" t="n">
        <f aca="false">Poblacion!$D$20</f>
        <v>2</v>
      </c>
      <c r="E24" s="8" t="s">
        <v>110</v>
      </c>
      <c r="F24" s="11" t="s">
        <v>222</v>
      </c>
    </row>
    <row r="25" customFormat="false" ht="15" hidden="false" customHeight="false" outlineLevel="0" collapsed="false">
      <c r="A25" s="8" t="s">
        <v>232</v>
      </c>
      <c r="B25" s="9" t="s">
        <v>233</v>
      </c>
      <c r="C25" s="8" t="s">
        <v>234</v>
      </c>
      <c r="D25" s="14" t="n">
        <v>50</v>
      </c>
      <c r="E25" s="8" t="s">
        <v>179</v>
      </c>
      <c r="F25" s="11" t="s">
        <v>235</v>
      </c>
    </row>
    <row r="26" customFormat="false" ht="15" hidden="false" customHeight="false" outlineLevel="0" collapsed="false">
      <c r="A26" s="8" t="s">
        <v>236</v>
      </c>
      <c r="B26" s="9" t="s">
        <v>237</v>
      </c>
      <c r="C26" s="8" t="s">
        <v>238</v>
      </c>
      <c r="D26" s="26" t="n">
        <v>0.2</v>
      </c>
      <c r="E26" s="8" t="s">
        <v>179</v>
      </c>
      <c r="F26" s="11" t="s">
        <v>228</v>
      </c>
    </row>
    <row r="27" customFormat="false" ht="15" hidden="false" customHeight="false" outlineLevel="0" collapsed="false">
      <c r="A27" s="8" t="s">
        <v>239</v>
      </c>
      <c r="B27" s="9" t="s">
        <v>240</v>
      </c>
      <c r="C27" s="8" t="s">
        <v>241</v>
      </c>
      <c r="D27" s="32" t="n">
        <f aca="false">$D$21*$D$22+$D$24*$D$25</f>
        <v>1530</v>
      </c>
      <c r="E27" s="8" t="s">
        <v>242</v>
      </c>
      <c r="F27" s="11"/>
    </row>
    <row r="28" customFormat="false" ht="15" hidden="false" customHeight="false" outlineLevel="0" collapsed="false">
      <c r="A28" s="8" t="s">
        <v>243</v>
      </c>
      <c r="B28" s="9" t="s">
        <v>244</v>
      </c>
      <c r="C28" s="8" t="s">
        <v>245</v>
      </c>
      <c r="D28" s="28" t="n">
        <f aca="false">$D$21*$D$23+$D$24*$D$26</f>
        <v>11.4</v>
      </c>
      <c r="E28" s="8" t="s">
        <v>242</v>
      </c>
      <c r="F28" s="11"/>
    </row>
    <row r="29" customFormat="false" ht="15" hidden="false" customHeight="false" outlineLevel="0" collapsed="false">
      <c r="A29" s="8" t="s">
        <v>246</v>
      </c>
      <c r="B29" s="9" t="s">
        <v>247</v>
      </c>
      <c r="C29" s="8" t="s">
        <v>248</v>
      </c>
      <c r="D29" s="20" t="n">
        <f aca="false">$D$8*Poblacion!$D$38</f>
        <v>110.5</v>
      </c>
      <c r="E29" s="8" t="s">
        <v>148</v>
      </c>
      <c r="F29" s="11" t="s">
        <v>249</v>
      </c>
    </row>
    <row r="30" customFormat="false" ht="23.85" hidden="false" customHeight="false" outlineLevel="0" collapsed="false">
      <c r="A30" s="8" t="s">
        <v>250</v>
      </c>
      <c r="B30" s="9" t="s">
        <v>251</v>
      </c>
      <c r="C30" s="8" t="s">
        <v>159</v>
      </c>
      <c r="D30" s="18" t="str">
        <f aca="false">IF($D$22&gt;=$D$29,"CUMPLE","NO CUMPLE")</f>
        <v>CUMPLE</v>
      </c>
      <c r="E30" s="8"/>
      <c r="F30" s="11"/>
    </row>
    <row r="32" customFormat="false" ht="15" hidden="false" customHeight="false" outlineLevel="0" collapsed="false">
      <c r="A32" s="6" t="s">
        <v>252</v>
      </c>
      <c r="B32" s="6"/>
      <c r="C32" s="6"/>
      <c r="D32" s="6"/>
      <c r="E32" s="6"/>
      <c r="F32" s="6"/>
    </row>
    <row r="33" customFormat="false" ht="15" hidden="false" customHeight="false" outlineLevel="0" collapsed="false">
      <c r="A33" s="7" t="s">
        <v>6</v>
      </c>
      <c r="B33" s="7" t="s">
        <v>7</v>
      </c>
      <c r="C33" s="7" t="s">
        <v>8</v>
      </c>
      <c r="D33" s="7" t="s">
        <v>9</v>
      </c>
      <c r="E33" s="7" t="s">
        <v>10</v>
      </c>
      <c r="F33" s="7" t="s">
        <v>11</v>
      </c>
    </row>
    <row r="34" customFormat="false" ht="15" hidden="false" customHeight="false" outlineLevel="0" collapsed="false">
      <c r="A34" s="8" t="s">
        <v>145</v>
      </c>
      <c r="B34" s="9" t="s">
        <v>253</v>
      </c>
      <c r="C34" s="8"/>
      <c r="D34" s="14" t="n">
        <v>50</v>
      </c>
      <c r="E34" s="8" t="s">
        <v>254</v>
      </c>
      <c r="F34" s="11" t="s">
        <v>255</v>
      </c>
    </row>
    <row r="35" customFormat="false" ht="15" hidden="false" customHeight="false" outlineLevel="0" collapsed="false">
      <c r="A35" s="8" t="s">
        <v>150</v>
      </c>
      <c r="B35" s="9" t="s">
        <v>256</v>
      </c>
      <c r="C35" s="8"/>
      <c r="D35" s="14" t="n">
        <v>50</v>
      </c>
      <c r="E35" s="8" t="s">
        <v>254</v>
      </c>
      <c r="F35" s="11" t="s">
        <v>255</v>
      </c>
    </row>
    <row r="36" customFormat="false" ht="15" hidden="false" customHeight="false" outlineLevel="0" collapsed="false">
      <c r="A36" s="8" t="s">
        <v>153</v>
      </c>
      <c r="B36" s="9" t="s">
        <v>257</v>
      </c>
      <c r="C36" s="8"/>
      <c r="D36" s="14" t="n">
        <v>20</v>
      </c>
      <c r="E36" s="8" t="s">
        <v>258</v>
      </c>
      <c r="F36" s="11" t="s">
        <v>259</v>
      </c>
    </row>
    <row r="37" customFormat="false" ht="15" hidden="false" customHeight="false" outlineLevel="0" collapsed="false">
      <c r="A37" s="8" t="s">
        <v>157</v>
      </c>
      <c r="B37" s="9" t="s">
        <v>260</v>
      </c>
      <c r="C37" s="8"/>
      <c r="D37" s="14" t="n">
        <v>20</v>
      </c>
      <c r="E37" s="8" t="s">
        <v>258</v>
      </c>
      <c r="F37" s="11" t="s">
        <v>259</v>
      </c>
    </row>
    <row r="38" customFormat="false" ht="15" hidden="false" customHeight="false" outlineLevel="0" collapsed="false">
      <c r="A38" s="8" t="s">
        <v>160</v>
      </c>
      <c r="B38" s="9" t="s">
        <v>261</v>
      </c>
      <c r="C38" s="8" t="s">
        <v>262</v>
      </c>
      <c r="D38" s="33" t="n">
        <f aca="false">$D$21*$D$34+$D$24*$D$36</f>
        <v>590</v>
      </c>
      <c r="E38" s="8" t="s">
        <v>263</v>
      </c>
      <c r="F38" s="11"/>
    </row>
    <row r="39" customFormat="false" ht="15" hidden="false" customHeight="false" outlineLevel="0" collapsed="false">
      <c r="A39" s="8" t="s">
        <v>165</v>
      </c>
      <c r="B39" s="9" t="s">
        <v>264</v>
      </c>
      <c r="C39" s="8" t="s">
        <v>265</v>
      </c>
      <c r="D39" s="33" t="n">
        <f aca="false">$D$21*$D$35+$D$24*$D$37</f>
        <v>590</v>
      </c>
      <c r="E39" s="8" t="s">
        <v>263</v>
      </c>
      <c r="F39" s="11"/>
    </row>
    <row r="40" customFormat="false" ht="15" hidden="false" customHeight="false" outlineLevel="0" collapsed="false">
      <c r="A40" s="8" t="s">
        <v>168</v>
      </c>
      <c r="B40" s="9" t="s">
        <v>266</v>
      </c>
      <c r="C40" s="8" t="s">
        <v>267</v>
      </c>
      <c r="D40" s="16" t="n">
        <f aca="false">$D$38*1000/$D$27</f>
        <v>385.62091503268</v>
      </c>
      <c r="E40" s="8" t="s">
        <v>268</v>
      </c>
      <c r="F40" s="11"/>
    </row>
    <row r="41" customFormat="false" ht="15" hidden="false" customHeight="false" outlineLevel="0" collapsed="false">
      <c r="A41" s="8" t="s">
        <v>172</v>
      </c>
      <c r="B41" s="9" t="s">
        <v>269</v>
      </c>
      <c r="C41" s="8" t="s">
        <v>270</v>
      </c>
      <c r="D41" s="16" t="n">
        <f aca="false">$D$39*1000/$D$27</f>
        <v>385.62091503268</v>
      </c>
      <c r="E41" s="8" t="s">
        <v>268</v>
      </c>
      <c r="F41" s="11"/>
    </row>
  </sheetData>
  <mergeCells count="7">
    <mergeCell ref="A1:F1"/>
    <mergeCell ref="A2:F2"/>
    <mergeCell ref="A3:F3"/>
    <mergeCell ref="A6:F6"/>
    <mergeCell ref="A10:F10"/>
    <mergeCell ref="A19:F19"/>
    <mergeCell ref="A32:F32"/>
  </mergeCells>
  <conditionalFormatting sqref="D30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2.75" hidden="false" customHeight="true" outlineLevel="0" collapsed="false">
      <c r="B5" s="4" t="s">
        <v>272</v>
      </c>
      <c r="C5" s="4"/>
      <c r="D5" s="4"/>
      <c r="E5" s="4"/>
      <c r="F5" s="4"/>
      <c r="G5" s="4"/>
    </row>
    <row r="6" customFormat="false" ht="12.75" hidden="false" customHeight="true" outlineLevel="0" collapsed="false">
      <c r="B6" s="5" t="s">
        <v>4</v>
      </c>
      <c r="C6" s="5"/>
      <c r="D6" s="5"/>
      <c r="E6" s="5"/>
      <c r="F6" s="5"/>
      <c r="G6" s="5"/>
    </row>
    <row r="8" customFormat="false" ht="15" hidden="false" customHeight="false" outlineLevel="0" collapsed="false">
      <c r="A8" s="6" t="s">
        <v>273</v>
      </c>
      <c r="B8" s="6"/>
      <c r="C8" s="6"/>
      <c r="D8" s="6"/>
      <c r="E8" s="6"/>
      <c r="F8" s="6"/>
      <c r="G8" s="6"/>
    </row>
    <row r="9" customFormat="false" ht="39.75" hidden="false" customHeight="true" outlineLevel="0" collapsed="false">
      <c r="A9" s="7" t="s">
        <v>274</v>
      </c>
      <c r="B9" s="7" t="s">
        <v>275</v>
      </c>
      <c r="C9" s="7" t="s">
        <v>276</v>
      </c>
      <c r="D9" s="7" t="s">
        <v>277</v>
      </c>
      <c r="E9" s="7" t="s">
        <v>278</v>
      </c>
      <c r="F9" s="7" t="s">
        <v>279</v>
      </c>
    </row>
    <row r="10" customFormat="false" ht="15" hidden="false" customHeight="false" outlineLevel="0" collapsed="false">
      <c r="A10" s="9" t="s">
        <v>280</v>
      </c>
      <c r="B10" s="15" t="n">
        <f aca="false">Datos!$D$24+Datos!$D$25</f>
        <v>3</v>
      </c>
      <c r="C10" s="14" t="n">
        <v>4</v>
      </c>
      <c r="D10" s="15" t="n">
        <f aca="false">B10*C10</f>
        <v>12</v>
      </c>
      <c r="E10" s="8" t="s">
        <v>281</v>
      </c>
      <c r="F10" s="10" t="s">
        <v>282</v>
      </c>
    </row>
    <row r="11" customFormat="false" ht="15" hidden="false" customHeight="false" outlineLevel="0" collapsed="false">
      <c r="A11" s="9" t="s">
        <v>283</v>
      </c>
      <c r="B11" s="15" t="n">
        <f aca="false">Datos!$D$24+Datos!$D$25</f>
        <v>3</v>
      </c>
      <c r="C11" s="14" t="n">
        <v>1</v>
      </c>
      <c r="D11" s="15" t="n">
        <f aca="false">B11*C11</f>
        <v>3</v>
      </c>
      <c r="E11" s="8" t="s">
        <v>284</v>
      </c>
      <c r="F11" s="10" t="s">
        <v>282</v>
      </c>
    </row>
    <row r="12" customFormat="false" ht="15" hidden="false" customHeight="false" outlineLevel="0" collapsed="false">
      <c r="A12" s="9" t="s">
        <v>285</v>
      </c>
      <c r="B12" s="31" t="n">
        <f aca="false">Datos!$D$24</f>
        <v>2</v>
      </c>
      <c r="C12" s="14" t="n">
        <v>2</v>
      </c>
      <c r="D12" s="15" t="n">
        <f aca="false">B12*C12</f>
        <v>4</v>
      </c>
      <c r="E12" s="8" t="s">
        <v>286</v>
      </c>
      <c r="F12" s="10" t="s">
        <v>282</v>
      </c>
    </row>
    <row r="13" customFormat="false" ht="15" hidden="false" customHeight="false" outlineLevel="0" collapsed="false">
      <c r="A13" s="9" t="s">
        <v>287</v>
      </c>
      <c r="B13" s="15" t="n">
        <f aca="false">Datos!$D$24+Datos!$D$27</f>
        <v>3</v>
      </c>
      <c r="C13" s="14" t="n">
        <v>2</v>
      </c>
      <c r="D13" s="15" t="n">
        <f aca="false">B13*C13</f>
        <v>6</v>
      </c>
      <c r="E13" s="8" t="s">
        <v>286</v>
      </c>
      <c r="F13" s="10" t="s">
        <v>282</v>
      </c>
    </row>
    <row r="14" customFormat="false" ht="15" hidden="false" customHeight="false" outlineLevel="0" collapsed="false">
      <c r="A14" s="9" t="s">
        <v>288</v>
      </c>
      <c r="B14" s="31" t="n">
        <f aca="false">Datos!$D$27</f>
        <v>1</v>
      </c>
      <c r="C14" s="14" t="n">
        <v>2</v>
      </c>
      <c r="D14" s="15" t="n">
        <f aca="false">B14*C14</f>
        <v>2</v>
      </c>
      <c r="E14" s="8" t="s">
        <v>286</v>
      </c>
      <c r="F14" s="10" t="s">
        <v>282</v>
      </c>
    </row>
    <row r="15" customFormat="false" ht="15" hidden="false" customHeight="false" outlineLevel="0" collapsed="false">
      <c r="A15" s="9" t="s">
        <v>289</v>
      </c>
      <c r="B15" s="31" t="n">
        <f aca="false">Datos!$D$27</f>
        <v>1</v>
      </c>
      <c r="C15" s="14" t="n">
        <v>3</v>
      </c>
      <c r="D15" s="15" t="n">
        <f aca="false">B15*C15</f>
        <v>3</v>
      </c>
      <c r="E15" s="8" t="s">
        <v>286</v>
      </c>
      <c r="F15" s="10" t="s">
        <v>282</v>
      </c>
    </row>
    <row r="16" customFormat="false" ht="15" hidden="false" customHeight="false" outlineLevel="0" collapsed="false">
      <c r="A16" s="9" t="s">
        <v>290</v>
      </c>
      <c r="B16" s="31" t="n">
        <f aca="false">Datos!$D$26</f>
        <v>1</v>
      </c>
      <c r="C16" s="14" t="n">
        <v>2</v>
      </c>
      <c r="D16" s="15" t="n">
        <f aca="false">B16*C16</f>
        <v>2</v>
      </c>
      <c r="E16" s="8" t="s">
        <v>286</v>
      </c>
      <c r="F16" s="10" t="s">
        <v>291</v>
      </c>
    </row>
    <row r="17" customFormat="false" ht="15" hidden="false" customHeight="false" outlineLevel="0" collapsed="false">
      <c r="A17" s="9" t="s">
        <v>292</v>
      </c>
      <c r="B17" s="31" t="n">
        <f aca="false">Datos!$D$28</f>
        <v>1</v>
      </c>
      <c r="C17" s="14" t="n">
        <v>2</v>
      </c>
      <c r="D17" s="15" t="n">
        <f aca="false">B17*C17</f>
        <v>2</v>
      </c>
      <c r="E17" s="8" t="s">
        <v>286</v>
      </c>
      <c r="F17" s="10" t="s">
        <v>291</v>
      </c>
    </row>
    <row r="18" customFormat="false" ht="15" hidden="false" customHeight="false" outlineLevel="0" collapsed="false">
      <c r="A18" s="23" t="s">
        <v>190</v>
      </c>
      <c r="D18" s="23" t="n">
        <f aca="false">SUM(D10:D17)</f>
        <v>34</v>
      </c>
    </row>
    <row r="19" customFormat="false" ht="15" hidden="false" customHeight="false" outlineLevel="0" collapsed="false">
      <c r="A19" s="0" t="s">
        <v>293</v>
      </c>
      <c r="D19" s="0" t="n">
        <f aca="false">SUMIF(F10:F17,"Trampa de grasas",D10:D17)</f>
        <v>4</v>
      </c>
    </row>
    <row r="21" customFormat="false" ht="15" hidden="false" customHeight="false" outlineLevel="0" collapsed="false">
      <c r="A21" s="6" t="s">
        <v>294</v>
      </c>
      <c r="B21" s="6"/>
      <c r="C21" s="6"/>
      <c r="D21" s="6"/>
      <c r="E21" s="6"/>
      <c r="F21" s="6"/>
      <c r="G21" s="6"/>
    </row>
    <row r="22" customFormat="false" ht="39.75" hidden="false" customHeight="true" outlineLevel="0" collapsed="false">
      <c r="A22" s="7" t="s">
        <v>295</v>
      </c>
      <c r="B22" s="7" t="s">
        <v>296</v>
      </c>
      <c r="C22" s="7" t="s">
        <v>297</v>
      </c>
      <c r="D22" s="7" t="s">
        <v>298</v>
      </c>
      <c r="E22" s="7" t="s">
        <v>299</v>
      </c>
      <c r="F22" s="7" t="s">
        <v>300</v>
      </c>
    </row>
    <row r="23" customFormat="false" ht="23.85" hidden="false" customHeight="false" outlineLevel="0" collapsed="false">
      <c r="A23" s="9" t="s">
        <v>301</v>
      </c>
      <c r="B23" s="15" t="n">
        <f aca="false">C10+C11+C12+C13</f>
        <v>9</v>
      </c>
      <c r="C23" s="10" t="s">
        <v>281</v>
      </c>
      <c r="D23" s="34" t="s">
        <v>302</v>
      </c>
      <c r="E23" s="15" t="n">
        <f aca="false">INDEX(Tablas!$B$66:$B$70,MATCH(C23,Tablas!$A$66:$A$70,0))</f>
        <v>160</v>
      </c>
      <c r="F23" s="8" t="str">
        <f aca="false">IF(B23&lt;=E23,"CUMPLE","NO CUMPLE")</f>
        <v>CUMPLE</v>
      </c>
    </row>
    <row r="24" customFormat="false" ht="15" hidden="false" customHeight="false" outlineLevel="0" collapsed="false">
      <c r="A24" s="9" t="s">
        <v>303</v>
      </c>
      <c r="B24" s="15" t="n">
        <f aca="false">$D$19</f>
        <v>4</v>
      </c>
      <c r="C24" s="10" t="s">
        <v>286</v>
      </c>
      <c r="D24" s="34" t="s">
        <v>302</v>
      </c>
      <c r="E24" s="15" t="n">
        <f aca="false">INDEX(Tablas!$B$66:$B$70,MATCH(C24,Tablas!$A$66:$A$70,0))</f>
        <v>6</v>
      </c>
      <c r="F24" s="8" t="str">
        <f aca="false">IF(B24&lt;=E24,"CUMPLE","NO CUMPLE")</f>
        <v>CUMPLE</v>
      </c>
    </row>
    <row r="25" customFormat="false" ht="15" hidden="false" customHeight="false" outlineLevel="0" collapsed="false">
      <c r="A25" s="9" t="s">
        <v>304</v>
      </c>
      <c r="B25" s="15" t="n">
        <f aca="false">C14+C15+C13</f>
        <v>7</v>
      </c>
      <c r="C25" s="10" t="s">
        <v>305</v>
      </c>
      <c r="D25" s="34" t="s">
        <v>302</v>
      </c>
      <c r="E25" s="15" t="n">
        <f aca="false">INDEX(Tablas!$B$66:$B$70,MATCH(C25,Tablas!$A$66:$A$70,0))</f>
        <v>20</v>
      </c>
      <c r="F25" s="8" t="str">
        <f aca="false">IF(B25&lt;=E25,"CUMPLE","NO CUMPLE")</f>
        <v>CUMPLE</v>
      </c>
    </row>
    <row r="26" customFormat="false" ht="15" hidden="false" customHeight="false" outlineLevel="0" collapsed="false">
      <c r="A26" s="9" t="s">
        <v>306</v>
      </c>
      <c r="B26" s="15" t="n">
        <f aca="false">$D$18</f>
        <v>34</v>
      </c>
      <c r="C26" s="10" t="s">
        <v>281</v>
      </c>
      <c r="D26" s="34" t="s">
        <v>302</v>
      </c>
      <c r="E26" s="15" t="n">
        <f aca="false">INDEX(Tablas!$C$66:$C$70,MATCH(C26,Tablas!$A$66:$A$70,0))</f>
        <v>240</v>
      </c>
      <c r="F26" s="8" t="str">
        <f aca="false">IF(B26&lt;=E26,"CUMPLE","NO CUMPLE")</f>
        <v>CUMPLE</v>
      </c>
    </row>
    <row r="27" customFormat="false" ht="15" hidden="false" customHeight="false" outlineLevel="0" collapsed="false">
      <c r="A27" s="9" t="s">
        <v>307</v>
      </c>
      <c r="B27" s="15" t="n">
        <f aca="false">$D$18</f>
        <v>34</v>
      </c>
      <c r="C27" s="10" t="s">
        <v>281</v>
      </c>
      <c r="D27" s="34" t="n">
        <v>0.02</v>
      </c>
      <c r="E27" s="15" t="n">
        <f aca="false">IF(D27&gt;=0.02,INDEX(Tablas!$E$66:$E$70,MATCH(C27,Tablas!$A$66:$A$70,0)),INDEX(Tablas!$D$66:$D$70,MATCH(C27,Tablas!$A$66:$A$70,0)))</f>
        <v>216</v>
      </c>
      <c r="F27" s="8" t="str">
        <f aca="false">IF(B27&lt;=E27,"CUMPLE","NO CUMPLE")</f>
        <v>CUMPLE</v>
      </c>
    </row>
    <row r="30" customFormat="false" ht="15" hidden="false" customHeight="false" outlineLevel="0" collapsed="false">
      <c r="A30" s="6" t="s">
        <v>308</v>
      </c>
      <c r="B30" s="6"/>
      <c r="C30" s="6"/>
      <c r="D30" s="6"/>
      <c r="E30" s="6"/>
      <c r="F30" s="6"/>
      <c r="G30" s="6"/>
    </row>
    <row r="31" customFormat="false" ht="15" hidden="false" customHeight="false" outlineLevel="0" collapsed="false">
      <c r="A31" s="35" t="s">
        <v>309</v>
      </c>
      <c r="B31" s="35"/>
      <c r="C31" s="35"/>
      <c r="D31" s="23" t="str">
        <f aca="false">IF(AND(INDEX(Tablas!$B$57:$B$61,MATCH(C23,Tablas!$A$57:$A$61,0))&gt;=3,INDEX(Tablas!$B$57:$B$61,MATCH($C$27,Tablas!$A$57:$A$61,0))&gt;=3),"CUMPLE","NO CUMPLE")</f>
        <v>CUMPLE</v>
      </c>
      <c r="E31" s="36" t="s">
        <v>310</v>
      </c>
    </row>
    <row r="32" customFormat="false" ht="15" hidden="false" customHeight="false" outlineLevel="0" collapsed="false">
      <c r="A32" s="35" t="s">
        <v>311</v>
      </c>
      <c r="B32" s="35"/>
      <c r="C32" s="35"/>
      <c r="D32" s="23" t="str">
        <f aca="false">IF(AND($D$27&gt;=0.01,$D$27&lt;=0.04),"CUMPLE","NO CUMPLE")</f>
        <v>CUMPLE</v>
      </c>
      <c r="E32" s="36" t="s">
        <v>312</v>
      </c>
    </row>
    <row r="33" customFormat="false" ht="15" hidden="false" customHeight="false" outlineLevel="0" collapsed="false">
      <c r="A33" s="35" t="s">
        <v>313</v>
      </c>
      <c r="B33" s="35"/>
      <c r="C33" s="35"/>
      <c r="D33" s="37" t="s">
        <v>286</v>
      </c>
      <c r="E33" s="36" t="s">
        <v>314</v>
      </c>
    </row>
    <row r="34" customFormat="false" ht="15" hidden="false" customHeight="false" outlineLevel="0" collapsed="false">
      <c r="A34" s="35" t="s">
        <v>315</v>
      </c>
      <c r="B34" s="35"/>
      <c r="C34" s="35"/>
      <c r="D34" s="23" t="str">
        <f aca="false">IF(INDEX(Tablas!$B$57:$B$61,MATCH($D$33,Tablas!$A$57:$A$61,0))&gt;=MAX(1.5,INDEX(Tablas!$B$57:$B$61,MATCH($C$26,Tablas!$A$57:$A$61,0))/2),"CUMPLE","NO CUMPLE")</f>
        <v>CUMPLE</v>
      </c>
      <c r="E34" s="36" t="s">
        <v>316</v>
      </c>
    </row>
    <row r="36" customFormat="false" ht="25.5" hidden="false" customHeight="true" outlineLevel="0" collapsed="false">
      <c r="B36" s="4" t="s">
        <v>317</v>
      </c>
      <c r="C36" s="4"/>
      <c r="D36" s="4"/>
      <c r="E36" s="4"/>
      <c r="F36" s="4"/>
      <c r="G36" s="4"/>
    </row>
  </sheetData>
  <mergeCells count="13">
    <mergeCell ref="A1:G1"/>
    <mergeCell ref="A2:G2"/>
    <mergeCell ref="A3:G3"/>
    <mergeCell ref="B5:G5"/>
    <mergeCell ref="B6:G6"/>
    <mergeCell ref="A8:G8"/>
    <mergeCell ref="A21:G21"/>
    <mergeCell ref="A30:G30"/>
    <mergeCell ref="A31:C31"/>
    <mergeCell ref="A32:C32"/>
    <mergeCell ref="A33:C33"/>
    <mergeCell ref="A34:C34"/>
    <mergeCell ref="B36:G36"/>
  </mergeCells>
  <conditionalFormatting sqref="F23:F27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conditionalFormatting sqref="D31">
    <cfRule type="cellIs" priority="4" operator="equal" aboveAverage="0" equalAverage="0" bottom="0" percent="0" rank="0" text="" dxfId="0">
      <formula>"CUMPLE"</formula>
    </cfRule>
    <cfRule type="cellIs" priority="5" operator="equal" aboveAverage="0" equalAverage="0" bottom="0" percent="0" rank="0" text="" dxfId="1">
      <formula>"NO CUMPLE"</formula>
    </cfRule>
  </conditionalFormatting>
  <conditionalFormatting sqref="D32">
    <cfRule type="cellIs" priority="6" operator="equal" aboveAverage="0" equalAverage="0" bottom="0" percent="0" rank="0" text="" dxfId="0">
      <formula>"CUMPLE"</formula>
    </cfRule>
    <cfRule type="cellIs" priority="7" operator="equal" aboveAverage="0" equalAverage="0" bottom="0" percent="0" rank="0" text="" dxfId="1">
      <formula>"NO CUMPLE"</formula>
    </cfRule>
  </conditionalFormatting>
  <conditionalFormatting sqref="D34">
    <cfRule type="cellIs" priority="8" operator="equal" aboveAverage="0" equalAverage="0" bottom="0" percent="0" rank="0" text="" dxfId="0">
      <formula>"CUMPLE"</formula>
    </cfRule>
    <cfRule type="cellIs" priority="9" operator="equal" aboveAverage="0" equalAverage="0" bottom="0" percent="0" rank="0" text="" dxfId="1">
      <formula>"NO CUMPLE"</formula>
    </cfRule>
  </conditionalFormatting>
  <dataValidations count="6">
    <dataValidation allowBlank="false" errorStyle="stop" operator="between" showDropDown="false" showErrorMessage="false" showInputMessage="false" sqref="C23" type="list">
      <formula1>Tablas!$A$66:$A$70</formula1>
      <formula2>0</formula2>
    </dataValidation>
    <dataValidation allowBlank="false" errorStyle="stop" operator="between" showDropDown="false" showErrorMessage="false" showInputMessage="false" sqref="C24" type="list">
      <formula1>Tablas!$A$66:$A$70</formula1>
      <formula2>0</formula2>
    </dataValidation>
    <dataValidation allowBlank="false" errorStyle="stop" operator="between" showDropDown="false" showErrorMessage="false" showInputMessage="false" sqref="C25" type="list">
      <formula1>Tablas!$A$66:$A$70</formula1>
      <formula2>0</formula2>
    </dataValidation>
    <dataValidation allowBlank="false" errorStyle="stop" operator="between" showDropDown="false" showErrorMessage="false" showInputMessage="false" sqref="C26" type="list">
      <formula1>Tablas!$A$66:$A$70</formula1>
      <formula2>0</formula2>
    </dataValidation>
    <dataValidation allowBlank="false" errorStyle="stop" operator="between" showDropDown="false" showErrorMessage="false" showInputMessage="false" sqref="C27" type="list">
      <formula1>Tablas!$A$66:$A$70</formula1>
      <formula2>0</formula2>
    </dataValidation>
    <dataValidation allowBlank="false" errorStyle="stop" operator="between" showDropDown="false" showErrorMessage="false" showInputMessage="false" sqref="D33" type="list">
      <formula1>Tablas!$A$57:$A$61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318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25.5" hidden="false" customHeight="true" outlineLevel="0" collapsed="false">
      <c r="B5" s="4" t="s">
        <v>319</v>
      </c>
      <c r="C5" s="4"/>
      <c r="D5" s="4"/>
      <c r="E5" s="4"/>
      <c r="F5" s="4"/>
    </row>
    <row r="7" customFormat="false" ht="15" hidden="false" customHeight="false" outlineLevel="0" collapsed="false">
      <c r="A7" s="6" t="s">
        <v>320</v>
      </c>
      <c r="B7" s="6"/>
      <c r="C7" s="6"/>
      <c r="D7" s="6"/>
      <c r="E7" s="6"/>
      <c r="F7" s="6"/>
    </row>
    <row r="8" customFormat="false" ht="15" hidden="false" customHeight="fals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customFormat="false" ht="15" hidden="false" customHeight="false" outlineLevel="0" collapsed="false">
      <c r="A9" s="8" t="s">
        <v>12</v>
      </c>
      <c r="B9" s="9" t="s">
        <v>321</v>
      </c>
      <c r="C9" s="8" t="s">
        <v>322</v>
      </c>
      <c r="D9" s="26" t="n">
        <v>0.94</v>
      </c>
      <c r="E9" s="8"/>
      <c r="F9" s="11" t="s">
        <v>323</v>
      </c>
    </row>
    <row r="10" customFormat="false" ht="15" hidden="false" customHeight="false" outlineLevel="0" collapsed="false">
      <c r="A10" s="8" t="s">
        <v>15</v>
      </c>
      <c r="B10" s="9" t="s">
        <v>324</v>
      </c>
      <c r="C10" s="8" t="s">
        <v>325</v>
      </c>
      <c r="D10" s="26" t="n">
        <v>0.18</v>
      </c>
      <c r="E10" s="8"/>
      <c r="F10" s="11" t="s">
        <v>323</v>
      </c>
    </row>
    <row r="11" customFormat="false" ht="15" hidden="false" customHeight="false" outlineLevel="0" collapsed="false">
      <c r="A11" s="8" t="s">
        <v>18</v>
      </c>
      <c r="B11" s="9" t="s">
        <v>326</v>
      </c>
      <c r="C11" s="8" t="s">
        <v>327</v>
      </c>
      <c r="D11" s="26" t="n">
        <v>0.66</v>
      </c>
      <c r="E11" s="8"/>
      <c r="F11" s="11" t="s">
        <v>323</v>
      </c>
    </row>
    <row r="12" customFormat="false" ht="15" hidden="false" customHeight="false" outlineLevel="0" collapsed="false">
      <c r="A12" s="8" t="s">
        <v>22</v>
      </c>
      <c r="B12" s="9" t="s">
        <v>328</v>
      </c>
      <c r="C12" s="8" t="s">
        <v>329</v>
      </c>
      <c r="D12" s="26" t="n">
        <v>0.83</v>
      </c>
      <c r="E12" s="8"/>
      <c r="F12" s="11" t="s">
        <v>323</v>
      </c>
    </row>
    <row r="13" customFormat="false" ht="15" hidden="false" customHeight="false" outlineLevel="0" collapsed="false">
      <c r="A13" s="8" t="s">
        <v>27</v>
      </c>
      <c r="B13" s="9" t="s">
        <v>330</v>
      </c>
      <c r="C13" s="8" t="s">
        <v>331</v>
      </c>
      <c r="D13" s="13" t="n">
        <v>75</v>
      </c>
      <c r="E13" s="8" t="s">
        <v>332</v>
      </c>
      <c r="F13" s="11" t="s">
        <v>333</v>
      </c>
    </row>
    <row r="14" customFormat="false" ht="15" hidden="false" customHeight="false" outlineLevel="0" collapsed="false">
      <c r="A14" s="8" t="s">
        <v>32</v>
      </c>
      <c r="B14" s="9" t="s">
        <v>334</v>
      </c>
      <c r="C14" s="8" t="s">
        <v>335</v>
      </c>
      <c r="D14" s="14" t="n">
        <v>10</v>
      </c>
      <c r="E14" s="8" t="s">
        <v>142</v>
      </c>
      <c r="F14" s="11" t="s">
        <v>336</v>
      </c>
    </row>
    <row r="15" customFormat="false" ht="15" hidden="false" customHeight="false" outlineLevel="0" collapsed="false">
      <c r="A15" s="8" t="s">
        <v>36</v>
      </c>
      <c r="B15" s="9" t="s">
        <v>337</v>
      </c>
      <c r="C15" s="8" t="s">
        <v>338</v>
      </c>
      <c r="D15" s="14" t="n">
        <v>10</v>
      </c>
      <c r="E15" s="8" t="s">
        <v>339</v>
      </c>
      <c r="F15" s="11" t="s">
        <v>340</v>
      </c>
    </row>
    <row r="16" customFormat="false" ht="15" hidden="false" customHeight="false" outlineLevel="0" collapsed="false">
      <c r="A16" s="8" t="s">
        <v>40</v>
      </c>
      <c r="B16" s="9" t="s">
        <v>341</v>
      </c>
      <c r="C16" s="8" t="s">
        <v>133</v>
      </c>
      <c r="D16" s="20" t="n">
        <f aca="false">$D$9*$D$14^$D$10*$D$13^$D$12/($D$15/60)^$D$11</f>
        <v>167.112342686592</v>
      </c>
      <c r="E16" s="8" t="s">
        <v>342</v>
      </c>
      <c r="F16" s="11"/>
    </row>
    <row r="17" customFormat="false" ht="15" hidden="false" customHeight="false" outlineLevel="0" collapsed="false">
      <c r="A17" s="8" t="s">
        <v>44</v>
      </c>
      <c r="B17" s="9" t="s">
        <v>343</v>
      </c>
      <c r="C17" s="8" t="s">
        <v>344</v>
      </c>
      <c r="D17" s="13" t="n">
        <v>100</v>
      </c>
      <c r="E17" s="8" t="s">
        <v>342</v>
      </c>
      <c r="F17" s="11" t="s">
        <v>345</v>
      </c>
    </row>
    <row r="18" customFormat="false" ht="15" hidden="false" customHeight="false" outlineLevel="0" collapsed="false">
      <c r="A18" s="8" t="s">
        <v>346</v>
      </c>
      <c r="B18" s="9" t="s">
        <v>347</v>
      </c>
      <c r="C18" s="8" t="s">
        <v>348</v>
      </c>
      <c r="D18" s="21" t="n">
        <f aca="false">MAX($D$16,$D$17)</f>
        <v>167.112342686592</v>
      </c>
      <c r="E18" s="8" t="s">
        <v>342</v>
      </c>
      <c r="F18" s="11"/>
    </row>
    <row r="20" customFormat="false" ht="15" hidden="false" customHeight="false" outlineLevel="0" collapsed="false">
      <c r="A20" s="6" t="s">
        <v>349</v>
      </c>
      <c r="B20" s="6"/>
      <c r="C20" s="6"/>
      <c r="D20" s="6"/>
      <c r="E20" s="6"/>
      <c r="F20" s="6"/>
    </row>
    <row r="21" customFormat="false" ht="15" hidden="false" customHeight="false" outlineLevel="0" collapsed="false">
      <c r="A21" s="7" t="s">
        <v>6</v>
      </c>
      <c r="B21" s="7" t="s">
        <v>7</v>
      </c>
      <c r="C21" s="7" t="s">
        <v>8</v>
      </c>
      <c r="D21" s="7" t="s">
        <v>9</v>
      </c>
      <c r="E21" s="7" t="s">
        <v>10</v>
      </c>
      <c r="F21" s="7" t="s">
        <v>11</v>
      </c>
    </row>
    <row r="22" customFormat="false" ht="15" hidden="false" customHeight="false" outlineLevel="0" collapsed="false">
      <c r="A22" s="8" t="s">
        <v>48</v>
      </c>
      <c r="B22" s="9" t="s">
        <v>350</v>
      </c>
      <c r="C22" s="8" t="s">
        <v>351</v>
      </c>
      <c r="D22" s="26" t="n">
        <v>0.95</v>
      </c>
      <c r="E22" s="8"/>
      <c r="F22" s="11" t="s">
        <v>352</v>
      </c>
    </row>
    <row r="23" customFormat="false" ht="15" hidden="false" customHeight="false" outlineLevel="0" collapsed="false">
      <c r="A23" s="8" t="s">
        <v>52</v>
      </c>
      <c r="B23" s="9" t="s">
        <v>353</v>
      </c>
      <c r="C23" s="8" t="s">
        <v>354</v>
      </c>
      <c r="D23" s="28" t="n">
        <f aca="false">$D$22*$D$18*Datos!$D$31/3600</f>
        <v>7.93783627761312</v>
      </c>
      <c r="E23" s="8" t="s">
        <v>204</v>
      </c>
      <c r="F23" s="11" t="s">
        <v>355</v>
      </c>
    </row>
    <row r="24" customFormat="false" ht="15" hidden="false" customHeight="false" outlineLevel="0" collapsed="false">
      <c r="A24" s="8" t="s">
        <v>55</v>
      </c>
      <c r="B24" s="9" t="s">
        <v>356</v>
      </c>
      <c r="C24" s="8" t="s">
        <v>224</v>
      </c>
      <c r="D24" s="26" t="n">
        <v>0.85</v>
      </c>
      <c r="E24" s="8"/>
      <c r="F24" s="11" t="s">
        <v>357</v>
      </c>
    </row>
    <row r="25" customFormat="false" ht="15" hidden="false" customHeight="false" outlineLevel="0" collapsed="false">
      <c r="A25" s="8" t="s">
        <v>58</v>
      </c>
      <c r="B25" s="9" t="s">
        <v>358</v>
      </c>
      <c r="C25" s="8" t="s">
        <v>359</v>
      </c>
      <c r="D25" s="28" t="n">
        <f aca="false">$D$24*$D$18*Datos!$D$32/3600</f>
        <v>1.57828323648448</v>
      </c>
      <c r="E25" s="8" t="s">
        <v>204</v>
      </c>
      <c r="F25" s="11"/>
    </row>
    <row r="26" customFormat="false" ht="15" hidden="false" customHeight="false" outlineLevel="0" collapsed="false">
      <c r="A26" s="8" t="s">
        <v>61</v>
      </c>
      <c r="B26" s="9" t="s">
        <v>360</v>
      </c>
      <c r="C26" s="8" t="s">
        <v>361</v>
      </c>
      <c r="D26" s="38" t="n">
        <f aca="false">$D$23+$D$25</f>
        <v>9.51611951409761</v>
      </c>
      <c r="E26" s="8" t="s">
        <v>204</v>
      </c>
      <c r="F26" s="11"/>
    </row>
    <row r="28" customFormat="false" ht="15" hidden="false" customHeight="false" outlineLevel="0" collapsed="false">
      <c r="A28" s="6" t="s">
        <v>362</v>
      </c>
      <c r="B28" s="6"/>
      <c r="C28" s="6"/>
      <c r="D28" s="6"/>
      <c r="E28" s="6"/>
      <c r="F28" s="6"/>
    </row>
    <row r="29" customFormat="false" ht="15" hidden="false" customHeight="false" outlineLevel="0" collapsed="false">
      <c r="A29" s="7" t="s">
        <v>6</v>
      </c>
      <c r="B29" s="7" t="s">
        <v>7</v>
      </c>
      <c r="C29" s="7" t="s">
        <v>8</v>
      </c>
      <c r="D29" s="7" t="s">
        <v>9</v>
      </c>
      <c r="E29" s="7" t="s">
        <v>10</v>
      </c>
      <c r="F29" s="7" t="s">
        <v>11</v>
      </c>
    </row>
    <row r="30" customFormat="false" ht="15" hidden="false" customHeight="false" outlineLevel="0" collapsed="false">
      <c r="A30" s="8" t="s">
        <v>131</v>
      </c>
      <c r="B30" s="9" t="s">
        <v>363</v>
      </c>
      <c r="C30" s="8" t="s">
        <v>364</v>
      </c>
      <c r="D30" s="14" t="n">
        <v>2</v>
      </c>
      <c r="E30" s="8" t="s">
        <v>51</v>
      </c>
      <c r="F30" s="11" t="s">
        <v>4</v>
      </c>
    </row>
    <row r="31" customFormat="false" ht="15" hidden="false" customHeight="false" outlineLevel="0" collapsed="false">
      <c r="A31" s="8" t="s">
        <v>135</v>
      </c>
      <c r="B31" s="9" t="s">
        <v>365</v>
      </c>
      <c r="C31" s="8" t="s">
        <v>366</v>
      </c>
      <c r="D31" s="28" t="n">
        <f aca="false">$D$23/$D$30</f>
        <v>3.96891813880656</v>
      </c>
      <c r="E31" s="8" t="s">
        <v>204</v>
      </c>
      <c r="F31" s="11"/>
    </row>
    <row r="32" customFormat="false" ht="15" hidden="false" customHeight="false" outlineLevel="0" collapsed="false">
      <c r="A32" s="8" t="s">
        <v>139</v>
      </c>
      <c r="B32" s="9" t="s">
        <v>367</v>
      </c>
      <c r="C32" s="8" t="s">
        <v>325</v>
      </c>
      <c r="D32" s="26" t="n">
        <v>0.15</v>
      </c>
      <c r="E32" s="8" t="s">
        <v>368</v>
      </c>
      <c r="F32" s="11"/>
    </row>
    <row r="33" customFormat="false" ht="15" hidden="false" customHeight="false" outlineLevel="0" collapsed="false">
      <c r="A33" s="8" t="s">
        <v>229</v>
      </c>
      <c r="B33" s="9" t="s">
        <v>369</v>
      </c>
      <c r="C33" s="8" t="s">
        <v>370</v>
      </c>
      <c r="D33" s="26" t="n">
        <v>0.12</v>
      </c>
      <c r="E33" s="8" t="s">
        <v>368</v>
      </c>
      <c r="F33" s="11"/>
    </row>
    <row r="34" customFormat="false" ht="15" hidden="false" customHeight="false" outlineLevel="0" collapsed="false">
      <c r="A34" s="8" t="s">
        <v>232</v>
      </c>
      <c r="B34" s="9" t="s">
        <v>371</v>
      </c>
      <c r="C34" s="8" t="s">
        <v>372</v>
      </c>
      <c r="D34" s="26" t="n">
        <v>0.75</v>
      </c>
      <c r="E34" s="8"/>
      <c r="F34" s="11" t="s">
        <v>373</v>
      </c>
    </row>
    <row r="35" customFormat="false" ht="15" hidden="false" customHeight="false" outlineLevel="0" collapsed="false">
      <c r="A35" s="8" t="s">
        <v>236</v>
      </c>
      <c r="B35" s="9" t="s">
        <v>374</v>
      </c>
      <c r="C35" s="8" t="s">
        <v>141</v>
      </c>
      <c r="D35" s="39" t="n">
        <v>0.012</v>
      </c>
      <c r="E35" s="8"/>
      <c r="F35" s="11"/>
    </row>
    <row r="36" customFormat="false" ht="15" hidden="false" customHeight="false" outlineLevel="0" collapsed="false">
      <c r="A36" s="8" t="s">
        <v>239</v>
      </c>
      <c r="B36" s="9" t="s">
        <v>375</v>
      </c>
      <c r="C36" s="8" t="s">
        <v>376</v>
      </c>
      <c r="D36" s="34" t="n">
        <v>0.005</v>
      </c>
      <c r="E36" s="8" t="s">
        <v>377</v>
      </c>
      <c r="F36" s="11" t="s">
        <v>378</v>
      </c>
    </row>
    <row r="37" customFormat="false" ht="15" hidden="false" customHeight="false" outlineLevel="0" collapsed="false">
      <c r="A37" s="8" t="s">
        <v>243</v>
      </c>
      <c r="B37" s="9" t="s">
        <v>379</v>
      </c>
      <c r="C37" s="8" t="s">
        <v>380</v>
      </c>
      <c r="D37" s="29" t="n">
        <f aca="false">$D$32*$D$33*$D$34</f>
        <v>0.0135</v>
      </c>
      <c r="E37" s="8" t="s">
        <v>79</v>
      </c>
      <c r="F37" s="11"/>
    </row>
    <row r="38" customFormat="false" ht="15" hidden="false" customHeight="false" outlineLevel="0" collapsed="false">
      <c r="A38" s="8" t="s">
        <v>246</v>
      </c>
      <c r="B38" s="9" t="s">
        <v>381</v>
      </c>
      <c r="C38" s="8" t="s">
        <v>382</v>
      </c>
      <c r="D38" s="29" t="n">
        <f aca="false">$D$37/($D$32+2*$D$33*$D$34)</f>
        <v>0.0409090909090909</v>
      </c>
      <c r="E38" s="8" t="s">
        <v>368</v>
      </c>
      <c r="F38" s="11"/>
    </row>
    <row r="39" customFormat="false" ht="15" hidden="false" customHeight="false" outlineLevel="0" collapsed="false">
      <c r="A39" s="8" t="s">
        <v>250</v>
      </c>
      <c r="B39" s="9" t="s">
        <v>383</v>
      </c>
      <c r="C39" s="8" t="s">
        <v>384</v>
      </c>
      <c r="D39" s="28" t="n">
        <f aca="false">1000/$D$35*$D$37*$D$38^(2/3)*SQRT($D$36)</f>
        <v>9.44461104150301</v>
      </c>
      <c r="E39" s="8" t="s">
        <v>204</v>
      </c>
      <c r="F39" s="11"/>
    </row>
    <row r="40" customFormat="false" ht="15" hidden="false" customHeight="false" outlineLevel="0" collapsed="false">
      <c r="A40" s="8" t="s">
        <v>385</v>
      </c>
      <c r="B40" s="9" t="s">
        <v>386</v>
      </c>
      <c r="C40" s="8" t="s">
        <v>159</v>
      </c>
      <c r="D40" s="18" t="str">
        <f aca="false">IF($D$39&gt;=$D$31,"CUMPLE","NO CUMPLE")</f>
        <v>CUMPLE</v>
      </c>
      <c r="E40" s="8"/>
      <c r="F40" s="11"/>
    </row>
    <row r="42" customFormat="false" ht="15" hidden="false" customHeight="false" outlineLevel="0" collapsed="false">
      <c r="A42" s="6" t="s">
        <v>387</v>
      </c>
      <c r="B42" s="6"/>
      <c r="C42" s="6"/>
      <c r="D42" s="6"/>
      <c r="E42" s="6"/>
      <c r="F42" s="6"/>
    </row>
    <row r="43" customFormat="false" ht="15" hidden="false" customHeight="false" outlineLevel="0" collapsed="false">
      <c r="A43" s="7" t="s">
        <v>6</v>
      </c>
      <c r="B43" s="7" t="s">
        <v>7</v>
      </c>
      <c r="C43" s="7" t="s">
        <v>8</v>
      </c>
      <c r="D43" s="7" t="s">
        <v>9</v>
      </c>
      <c r="E43" s="7" t="s">
        <v>10</v>
      </c>
      <c r="F43" s="7" t="s">
        <v>11</v>
      </c>
    </row>
    <row r="44" customFormat="false" ht="15" hidden="false" customHeight="false" outlineLevel="0" collapsed="false">
      <c r="A44" s="8" t="s">
        <v>145</v>
      </c>
      <c r="B44" s="9" t="s">
        <v>388</v>
      </c>
      <c r="C44" s="8" t="s">
        <v>389</v>
      </c>
      <c r="D44" s="14" t="n">
        <v>4</v>
      </c>
      <c r="E44" s="8" t="s">
        <v>51</v>
      </c>
      <c r="F44" s="11" t="s">
        <v>4</v>
      </c>
    </row>
    <row r="45" customFormat="false" ht="15" hidden="false" customHeight="false" outlineLevel="0" collapsed="false">
      <c r="A45" s="8" t="s">
        <v>150</v>
      </c>
      <c r="B45" s="9" t="s">
        <v>390</v>
      </c>
      <c r="C45" s="8" t="s">
        <v>391</v>
      </c>
      <c r="D45" s="10" t="s">
        <v>305</v>
      </c>
      <c r="E45" s="8"/>
      <c r="F45" s="11" t="s">
        <v>314</v>
      </c>
    </row>
    <row r="46" customFormat="false" ht="15" hidden="false" customHeight="false" outlineLevel="0" collapsed="false">
      <c r="A46" s="8" t="s">
        <v>153</v>
      </c>
      <c r="B46" s="9" t="s">
        <v>392</v>
      </c>
      <c r="C46" s="8" t="s">
        <v>393</v>
      </c>
      <c r="D46" s="20" t="n">
        <f aca="false">Datos!$D$31/$D$44</f>
        <v>45</v>
      </c>
      <c r="E46" s="8" t="s">
        <v>79</v>
      </c>
      <c r="F46" s="11"/>
    </row>
    <row r="47" customFormat="false" ht="15" hidden="false" customHeight="false" outlineLevel="0" collapsed="false">
      <c r="A47" s="8" t="s">
        <v>157</v>
      </c>
      <c r="B47" s="9" t="s">
        <v>394</v>
      </c>
      <c r="C47" s="8" t="s">
        <v>395</v>
      </c>
      <c r="D47" s="20" t="n">
        <f aca="false">INDEX(Tablas!$C$75:$C$78,MATCH($D$45,Tablas!$A$75:$A$78,0))*25.4/$D$18</f>
        <v>124.261841866131</v>
      </c>
      <c r="E47" s="8" t="s">
        <v>79</v>
      </c>
      <c r="F47" s="11" t="s">
        <v>396</v>
      </c>
    </row>
    <row r="48" customFormat="false" ht="15" hidden="false" customHeight="false" outlineLevel="0" collapsed="false">
      <c r="A48" s="8" t="s">
        <v>160</v>
      </c>
      <c r="B48" s="9" t="s">
        <v>397</v>
      </c>
      <c r="C48" s="8" t="s">
        <v>159</v>
      </c>
      <c r="D48" s="18" t="str">
        <f aca="false">IF($D$46&lt;=$D$47,"CUMPLE","NO CUMPLE")</f>
        <v>CUMPLE</v>
      </c>
      <c r="E48" s="8"/>
      <c r="F48" s="11"/>
    </row>
    <row r="49" customFormat="false" ht="12.75" hidden="false" customHeight="true" outlineLevel="0" collapsed="false">
      <c r="B49" s="4" t="s">
        <v>398</v>
      </c>
      <c r="C49" s="4"/>
      <c r="D49" s="4"/>
      <c r="E49" s="4"/>
      <c r="F49" s="4"/>
    </row>
  </sheetData>
  <mergeCells count="9">
    <mergeCell ref="A1:F1"/>
    <mergeCell ref="A2:F2"/>
    <mergeCell ref="A3:F3"/>
    <mergeCell ref="B5:F5"/>
    <mergeCell ref="A7:F7"/>
    <mergeCell ref="A20:F20"/>
    <mergeCell ref="A28:F28"/>
    <mergeCell ref="A42:F42"/>
    <mergeCell ref="B49:F49"/>
  </mergeCells>
  <conditionalFormatting sqref="D40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conditionalFormatting sqref="D48">
    <cfRule type="cellIs" priority="4" operator="equal" aboveAverage="0" equalAverage="0" bottom="0" percent="0" rank="0" text="" dxfId="0">
      <formula>"CUMPLE"</formula>
    </cfRule>
    <cfRule type="cellIs" priority="5" operator="equal" aboveAverage="0" equalAverage="0" bottom="0" percent="0" rank="0" text="" dxfId="1">
      <formula>"NO CUMPLE"</formula>
    </cfRule>
  </conditionalFormatting>
  <dataValidations count="1">
    <dataValidation allowBlank="false" errorStyle="stop" operator="between" showDropDown="false" showErrorMessage="false" showInputMessage="false" sqref="D45" type="list">
      <formula1>Tablas!$A$75:$A$78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2" min="10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9" min="17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" t="s">
        <v>399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5" customFormat="false" ht="12.75" hidden="false" customHeight="true" outlineLevel="0" collapsed="false">
      <c r="B5" s="4" t="s">
        <v>400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7" customFormat="false" ht="15" hidden="false" customHeight="false" outlineLevel="0" collapsed="false">
      <c r="A7" s="6" t="s">
        <v>401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customFormat="false" ht="15" hidden="false" customHeight="true" outlineLevel="0" collapsed="false">
      <c r="A8" s="40" t="s">
        <v>402</v>
      </c>
      <c r="B8" s="40"/>
      <c r="C8" s="39" t="n">
        <v>0.009</v>
      </c>
      <c r="D8" s="41"/>
      <c r="E8" s="3" t="s">
        <v>403</v>
      </c>
      <c r="F8" s="3"/>
      <c r="G8" s="3"/>
      <c r="H8" s="3"/>
      <c r="I8" s="3"/>
      <c r="J8" s="3"/>
    </row>
    <row r="9" customFormat="false" ht="15" hidden="false" customHeight="true" outlineLevel="0" collapsed="false">
      <c r="A9" s="40" t="s">
        <v>404</v>
      </c>
      <c r="B9" s="40"/>
      <c r="C9" s="26" t="n">
        <v>0.45</v>
      </c>
      <c r="D9" s="41" t="s">
        <v>405</v>
      </c>
      <c r="E9" s="3" t="s">
        <v>406</v>
      </c>
      <c r="F9" s="3"/>
      <c r="G9" s="3"/>
      <c r="H9" s="3"/>
      <c r="I9" s="3"/>
      <c r="J9" s="3"/>
    </row>
    <row r="10" customFormat="false" ht="15" hidden="false" customHeight="true" outlineLevel="0" collapsed="false">
      <c r="A10" s="40" t="s">
        <v>407</v>
      </c>
      <c r="B10" s="40"/>
      <c r="C10" s="26" t="n">
        <v>5</v>
      </c>
      <c r="D10" s="41" t="s">
        <v>405</v>
      </c>
      <c r="E10" s="3" t="s">
        <v>408</v>
      </c>
      <c r="F10" s="3"/>
      <c r="G10" s="3"/>
      <c r="H10" s="3"/>
      <c r="I10" s="3"/>
      <c r="J10" s="3"/>
    </row>
    <row r="11" customFormat="false" ht="15" hidden="false" customHeight="true" outlineLevel="0" collapsed="false">
      <c r="A11" s="40" t="s">
        <v>409</v>
      </c>
      <c r="B11" s="40"/>
      <c r="C11" s="26" t="n">
        <v>1</v>
      </c>
      <c r="D11" s="41" t="s">
        <v>410</v>
      </c>
      <c r="E11" s="3" t="s">
        <v>411</v>
      </c>
      <c r="F11" s="3"/>
      <c r="G11" s="3"/>
      <c r="H11" s="3"/>
      <c r="I11" s="3"/>
      <c r="J11" s="3"/>
    </row>
    <row r="12" customFormat="false" ht="15" hidden="false" customHeight="true" outlineLevel="0" collapsed="false">
      <c r="A12" s="40" t="s">
        <v>412</v>
      </c>
      <c r="B12" s="40"/>
      <c r="C12" s="26" t="n">
        <v>0.75</v>
      </c>
      <c r="D12" s="41"/>
      <c r="E12" s="3" t="s">
        <v>413</v>
      </c>
      <c r="F12" s="3"/>
      <c r="G12" s="3"/>
      <c r="H12" s="3"/>
      <c r="I12" s="3"/>
      <c r="J12" s="3"/>
    </row>
    <row r="14" customFormat="false" ht="15" hidden="false" customHeight="false" outlineLevel="0" collapsed="false">
      <c r="A14" s="6" t="s">
        <v>414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customFormat="false" ht="39.75" hidden="false" customHeight="true" outlineLevel="0" collapsed="false">
      <c r="A15" s="7" t="s">
        <v>415</v>
      </c>
      <c r="B15" s="7" t="s">
        <v>7</v>
      </c>
      <c r="C15" s="7" t="s">
        <v>416</v>
      </c>
      <c r="D15" s="7" t="s">
        <v>417</v>
      </c>
      <c r="E15" s="7" t="s">
        <v>418</v>
      </c>
      <c r="F15" s="7" t="s">
        <v>419</v>
      </c>
      <c r="G15" s="7" t="s">
        <v>141</v>
      </c>
      <c r="H15" s="7" t="s">
        <v>420</v>
      </c>
      <c r="I15" s="7" t="s">
        <v>421</v>
      </c>
      <c r="J15" s="7" t="s">
        <v>422</v>
      </c>
      <c r="K15" s="7" t="s">
        <v>423</v>
      </c>
      <c r="L15" s="7" t="s">
        <v>424</v>
      </c>
      <c r="M15" s="7" t="s">
        <v>425</v>
      </c>
      <c r="N15" s="7" t="s">
        <v>426</v>
      </c>
      <c r="O15" s="7" t="s">
        <v>427</v>
      </c>
      <c r="P15" s="7" t="s">
        <v>428</v>
      </c>
      <c r="Q15" s="7" t="s">
        <v>429</v>
      </c>
      <c r="R15" s="7" t="s">
        <v>430</v>
      </c>
      <c r="S15" s="7" t="s">
        <v>431</v>
      </c>
    </row>
    <row r="16" customFormat="false" ht="15" hidden="false" customHeight="false" outlineLevel="0" collapsed="false">
      <c r="A16" s="9" t="s">
        <v>432</v>
      </c>
      <c r="B16" s="8" t="s">
        <v>303</v>
      </c>
      <c r="C16" s="42" t="n">
        <f aca="false">IF((UD_Desagues!$D$19)&lt;=MIN(Tablas!$A$9:$A$44),INDEX(Tablas!$C$9:$C$44,1),IF((UD_Desagues!$D$19)&gt;=MAX(Tablas!$A$9:$A$44),INDEX(Tablas!$C$9:$C$44,ROWS(Tablas!$A$9:$A$44)),INDEX(Tablas!$C$9:$C$44,MATCH((UD_Desagues!$D$19),Tablas!$A$9:$A$44,1))+((UD_Desagues!$D$19)-INDEX(Tablas!$A$9:$A$44,MATCH((UD_Desagues!$D$19),Tablas!$A$9:$A$44,1)))*(INDEX(Tablas!$C$9:$C$44,MATCH((UD_Desagues!$D$19),Tablas!$A$9:$A$44,1)+1)-INDEX(Tablas!$C$9:$C$44,MATCH((UD_Desagues!$D$19),Tablas!$A$9:$A$44,1)))/(INDEX(Tablas!$A$9:$A$44,MATCH((UD_Desagues!$D$19),Tablas!$A$9:$A$44,1)+1)-INDEX(Tablas!$A$9:$A$44,MATCH((UD_Desagues!$D$19),Tablas!$A$9:$A$44,1)))))</f>
        <v>0.5047216</v>
      </c>
      <c r="D16" s="10" t="s">
        <v>286</v>
      </c>
      <c r="E16" s="29" t="n">
        <f aca="false">INDEX(Tablas!$E$57:$E$61,MATCH(D16,Tablas!$A$57:$A$61,0))/1000</f>
        <v>0.05672</v>
      </c>
      <c r="F16" s="34" t="n">
        <v>0.02</v>
      </c>
      <c r="G16" s="42" t="n">
        <f aca="false">$C$8</f>
        <v>0.009</v>
      </c>
      <c r="H16" s="28" t="n">
        <f aca="false">1000/G16*(PI()*E16^2/4)*(E16/4)^(2/3)*SQRT(F16)</f>
        <v>2.32604958257965</v>
      </c>
      <c r="I16" s="28" t="n">
        <f aca="false">H16/1000/(PI()*E16^2/4)</f>
        <v>0.920569628015559</v>
      </c>
      <c r="J16" s="42" t="n">
        <f aca="false">C16/H16</f>
        <v>0.216986604146353</v>
      </c>
      <c r="K16" s="28" t="n">
        <f aca="false">IF(J16&gt;MAX(Tablas!$G$117:$G$206),1,IF((J16)&lt;=MIN(Tablas!$G$117:$G$206),INDEX(Tablas!$A$117:$A$206,1),IF((J16)&gt;=MAX(Tablas!$G$117:$G$206),INDEX(Tablas!$A$117:$A$206,ROWS(Tablas!$G$117:$G$206)),INDEX(Tablas!$A$117:$A$206,MATCH((J16),Tablas!$G$117:$G$206,1))+((J16)-INDEX(Tablas!$G$117:$G$206,MATCH((J16),Tablas!$G$117:$G$206,1)))*(INDEX(Tablas!$A$117:$A$206,MATCH((J16),Tablas!$G$117:$G$206,1)+1)-INDEX(Tablas!$A$117:$A$206,MATCH((J16),Tablas!$G$117:$G$206,1)))/(INDEX(Tablas!$G$117:$G$206,MATCH((J16),Tablas!$G$117:$G$206,1)+1)-INDEX(Tablas!$G$117:$G$206,MATCH((J16),Tablas!$G$117:$G$206,1))))))</f>
        <v>0.316366467511311</v>
      </c>
      <c r="L16" s="42" t="n">
        <f aca="false">IF((K16)&lt;=MIN(Tablas!$A$117:$A$206),INDEX(Tablas!$F$117:$F$206,1),IF((K16)&gt;=MAX(Tablas!$A$117:$A$206),INDEX(Tablas!$F$117:$F$206,ROWS(Tablas!$A$117:$A$206)),INDEX(Tablas!$F$117:$F$206,MATCH((K16),Tablas!$A$117:$A$206,1))+((K16)-INDEX(Tablas!$A$117:$A$206,MATCH((K16),Tablas!$A$117:$A$206,1)))*(INDEX(Tablas!$F$117:$F$206,MATCH((K16),Tablas!$A$117:$A$206,1)+1)-INDEX(Tablas!$F$117:$F$206,MATCH((K16),Tablas!$A$117:$A$206,1)))/(INDEX(Tablas!$A$117:$A$206,MATCH((K16),Tablas!$A$117:$A$206,1)+1)-INDEX(Tablas!$A$117:$A$206,MATCH((K16),Tablas!$A$117:$A$206,1)))))</f>
        <v>0.798869243799291</v>
      </c>
      <c r="M16" s="28" t="n">
        <f aca="false">L16*I16</f>
        <v>0.735414762597383</v>
      </c>
      <c r="N16" s="42" t="n">
        <f aca="false">IF((K16)&lt;=MIN(Tablas!$A$117:$A$206),INDEX(Tablas!$E$117:$E$206,1),IF((K16)&gt;=MAX(Tablas!$A$117:$A$206),INDEX(Tablas!$E$117:$E$206,ROWS(Tablas!$A$117:$A$206)),INDEX(Tablas!$E$117:$E$206,MATCH((K16),Tablas!$A$117:$A$206,1))+((K16)-INDEX(Tablas!$A$117:$A$206,MATCH((K16),Tablas!$A$117:$A$206,1)))*(INDEX(Tablas!$E$117:$E$206,MATCH((K16),Tablas!$A$117:$A$206,1)+1)-INDEX(Tablas!$E$117:$E$206,MATCH((K16),Tablas!$A$117:$A$206,1)))/(INDEX(Tablas!$A$117:$A$206,MATCH((K16),Tablas!$A$117:$A$206,1)+1)-INDEX(Tablas!$A$117:$A$206,MATCH((K16),Tablas!$A$117:$A$206,1)))))</f>
        <v>0.714043414614337</v>
      </c>
      <c r="O16" s="29" t="n">
        <f aca="false">N16*E16/4</f>
        <v>0.0101251356192313</v>
      </c>
      <c r="P16" s="28" t="n">
        <f aca="false">9810*O16*F16</f>
        <v>1.98655160849318</v>
      </c>
      <c r="Q16" s="8" t="str">
        <f aca="false">IF(K16&lt;=$C$12,"CUMPLE","NO CUMPLE")</f>
        <v>CUMPLE</v>
      </c>
      <c r="R16" s="8" t="str">
        <f aca="false">IF(AND(M16&gt;=$C$9,M16&lt;=$C$10),"CUMPLE","NO CUMPLE")</f>
        <v>CUMPLE</v>
      </c>
      <c r="S16" s="8" t="str">
        <f aca="false">IF(P16&gt;=$C$11,"CUMPLE","NO CUMPLE")</f>
        <v>CUMPLE</v>
      </c>
    </row>
    <row r="17" customFormat="false" ht="15" hidden="false" customHeight="false" outlineLevel="0" collapsed="false">
      <c r="A17" s="9" t="s">
        <v>433</v>
      </c>
      <c r="B17" s="8" t="s">
        <v>307</v>
      </c>
      <c r="C17" s="42" t="n">
        <f aca="false">IF((UD_Desagues!$D$18)&lt;=MIN(Tablas!$A$9:$A$44),INDEX(Tablas!$C$9:$C$44,1),IF((UD_Desagues!$D$18)&gt;=MAX(Tablas!$A$9:$A$44),INDEX(Tablas!$C$9:$C$44,ROWS(Tablas!$A$9:$A$44)),INDEX(Tablas!$C$9:$C$44,MATCH((UD_Desagues!$D$18),Tablas!$A$9:$A$44,1))+((UD_Desagues!$D$18)-INDEX(Tablas!$A$9:$A$44,MATCH((UD_Desagues!$D$18),Tablas!$A$9:$A$44,1)))*(INDEX(Tablas!$C$9:$C$44,MATCH((UD_Desagues!$D$18),Tablas!$A$9:$A$44,1)+1)-INDEX(Tablas!$C$9:$C$44,MATCH((UD_Desagues!$D$18),Tablas!$A$9:$A$44,1)))/(INDEX(Tablas!$A$9:$A$44,MATCH((UD_Desagues!$D$18),Tablas!$A$9:$A$44,1)+1)-INDEX(Tablas!$A$9:$A$44,MATCH((UD_Desagues!$D$18),Tablas!$A$9:$A$44,1)))))</f>
        <v>1.550757116</v>
      </c>
      <c r="D17" s="10" t="s">
        <v>281</v>
      </c>
      <c r="E17" s="29" t="n">
        <f aca="false">INDEX(Tablas!$E$57:$E$61,MATCH(D17,Tablas!$A$57:$A$61,0))/1000</f>
        <v>0.1095</v>
      </c>
      <c r="F17" s="34" t="n">
        <v>0.02</v>
      </c>
      <c r="G17" s="42" t="n">
        <f aca="false">$C$8</f>
        <v>0.009</v>
      </c>
      <c r="H17" s="28" t="n">
        <f aca="false">1000/G17*(PI()*E17^2/4)*(E17/4)^(2/3)*SQRT(F17)</f>
        <v>13.4408487296499</v>
      </c>
      <c r="I17" s="28" t="n">
        <f aca="false">H17/1000/(PI()*E17^2/4)</f>
        <v>1.42727800649642</v>
      </c>
      <c r="J17" s="42" t="n">
        <f aca="false">C17/H17</f>
        <v>0.115376428021178</v>
      </c>
      <c r="K17" s="28" t="n">
        <f aca="false">IF(J17&gt;MAX(Tablas!$G$117:$G$206),1,IF((J17)&lt;=MIN(Tablas!$G$117:$G$206),INDEX(Tablas!$A$117:$A$206,1),IF((J17)&gt;=MAX(Tablas!$G$117:$G$206),INDEX(Tablas!$A$117:$A$206,ROWS(Tablas!$G$117:$G$206)),INDEX(Tablas!$A$117:$A$206,MATCH((J17),Tablas!$G$117:$G$206,1))+((J17)-INDEX(Tablas!$G$117:$G$206,MATCH((J17),Tablas!$G$117:$G$206,1)))*(INDEX(Tablas!$A$117:$A$206,MATCH((J17),Tablas!$G$117:$G$206,1)+1)-INDEX(Tablas!$A$117:$A$206,MATCH((J17),Tablas!$G$117:$G$206,1)))/(INDEX(Tablas!$G$117:$G$206,MATCH((J17),Tablas!$G$117:$G$206,1)+1)-INDEX(Tablas!$G$117:$G$206,MATCH((J17),Tablas!$G$117:$G$206,1))))))</f>
        <v>0.229345086270307</v>
      </c>
      <c r="L17" s="42" t="n">
        <f aca="false">IF((K17)&lt;=MIN(Tablas!$A$117:$A$206),INDEX(Tablas!$F$117:$F$206,1),IF((K17)&gt;=MAX(Tablas!$A$117:$A$206),INDEX(Tablas!$F$117:$F$206,ROWS(Tablas!$A$117:$A$206)),INDEX(Tablas!$F$117:$F$206,MATCH((K17),Tablas!$A$117:$A$206,1))+((K17)-INDEX(Tablas!$A$117:$A$206,MATCH((K17),Tablas!$A$117:$A$206,1)))*(INDEX(Tablas!$F$117:$F$206,MATCH((K17),Tablas!$A$117:$A$206,1)+1)-INDEX(Tablas!$F$117:$F$206,MATCH((K17),Tablas!$A$117:$A$206,1)))/(INDEX(Tablas!$A$117:$A$206,MATCH((K17),Tablas!$A$117:$A$206,1)+1)-INDEX(Tablas!$A$117:$A$206,MATCH((K17),Tablas!$A$117:$A$206,1)))))</f>
        <v>0.666634561595615</v>
      </c>
      <c r="M17" s="28" t="n">
        <f aca="false">L17*I17</f>
        <v>0.951472848135803</v>
      </c>
      <c r="N17" s="42" t="n">
        <f aca="false">IF((K17)&lt;=MIN(Tablas!$A$117:$A$206),INDEX(Tablas!$E$117:$E$206,1),IF((K17)&gt;=MAX(Tablas!$A$117:$A$206),INDEX(Tablas!$E$117:$E$206,ROWS(Tablas!$A$117:$A$206)),INDEX(Tablas!$E$117:$E$206,MATCH((K17),Tablas!$A$117:$A$206,1))+((K17)-INDEX(Tablas!$A$117:$A$206,MATCH((K17),Tablas!$A$117:$A$206,1)))*(INDEX(Tablas!$E$117:$E$206,MATCH((K17),Tablas!$A$117:$A$206,1)+1)-INDEX(Tablas!$E$117:$E$206,MATCH((K17),Tablas!$A$117:$A$206,1)))/(INDEX(Tablas!$A$117:$A$206,MATCH((K17),Tablas!$A$117:$A$206,1)+1)-INDEX(Tablas!$A$117:$A$206,MATCH((K17),Tablas!$A$117:$A$206,1)))))</f>
        <v>0.544299986959386</v>
      </c>
      <c r="O17" s="29" t="n">
        <f aca="false">N17*E17/4</f>
        <v>0.0149002121430132</v>
      </c>
      <c r="P17" s="28" t="n">
        <f aca="false">9810*O17*F17</f>
        <v>2.92342162245919</v>
      </c>
      <c r="Q17" s="8" t="str">
        <f aca="false">IF(K17&lt;=$C$12,"CUMPLE","NO CUMPLE")</f>
        <v>CUMPLE</v>
      </c>
      <c r="R17" s="8" t="str">
        <f aca="false">IF(AND(M17&gt;=$C$9,M17&lt;=$C$10),"CUMPLE","NO CUMPLE")</f>
        <v>CUMPLE</v>
      </c>
      <c r="S17" s="8" t="str">
        <f aca="false">IF(P17&gt;=$C$11,"CUMPLE","NO CUMPLE")</f>
        <v>CUMPLE</v>
      </c>
    </row>
    <row r="18" customFormat="false" ht="15" hidden="false" customHeight="false" outlineLevel="0" collapsed="false">
      <c r="A18" s="9" t="s">
        <v>434</v>
      </c>
      <c r="B18" s="8" t="s">
        <v>435</v>
      </c>
      <c r="C18" s="42" t="n">
        <f aca="false">IF((UD_Desagues!$D$18)&lt;=MIN(Tablas!$A$9:$A$44),INDEX(Tablas!$C$9:$C$44,1),IF((UD_Desagues!$D$18)&gt;=MAX(Tablas!$A$9:$A$44),INDEX(Tablas!$C$9:$C$44,ROWS(Tablas!$A$9:$A$44)),INDEX(Tablas!$C$9:$C$44,MATCH((UD_Desagues!$D$18),Tablas!$A$9:$A$44,1))+((UD_Desagues!$D$18)-INDEX(Tablas!$A$9:$A$44,MATCH((UD_Desagues!$D$18),Tablas!$A$9:$A$44,1)))*(INDEX(Tablas!$C$9:$C$44,MATCH((UD_Desagues!$D$18),Tablas!$A$9:$A$44,1)+1)-INDEX(Tablas!$C$9:$C$44,MATCH((UD_Desagues!$D$18),Tablas!$A$9:$A$44,1)))/(INDEX(Tablas!$A$9:$A$44,MATCH((UD_Desagues!$D$18),Tablas!$A$9:$A$44,1)+1)-INDEX(Tablas!$A$9:$A$44,MATCH((UD_Desagues!$D$18),Tablas!$A$9:$A$44,1)))))</f>
        <v>1.550757116</v>
      </c>
      <c r="D18" s="10" t="s">
        <v>281</v>
      </c>
      <c r="E18" s="29" t="n">
        <f aca="false">INDEX(Tablas!$E$57:$E$61,MATCH(D18,Tablas!$A$57:$A$61,0))/1000</f>
        <v>0.1095</v>
      </c>
      <c r="F18" s="34" t="n">
        <v>0.01</v>
      </c>
      <c r="G18" s="42" t="n">
        <f aca="false">$C$8</f>
        <v>0.009</v>
      </c>
      <c r="H18" s="28" t="n">
        <f aca="false">1000/G18*(PI()*E18^2/4)*(E18/4)^(2/3)*SQRT(F18)</f>
        <v>9.50411528163806</v>
      </c>
      <c r="I18" s="28" t="n">
        <f aca="false">H18/1000/(PI()*E18^2/4)</f>
        <v>1.00923795703203</v>
      </c>
      <c r="J18" s="42" t="n">
        <f aca="false">C18/H18</f>
        <v>0.163166909285714</v>
      </c>
      <c r="K18" s="28" t="n">
        <f aca="false">IF(J18&gt;MAX(Tablas!$G$117:$G$206),1,IF((J18)&lt;=MIN(Tablas!$G$117:$G$206),INDEX(Tablas!$A$117:$A$206,1),IF((J18)&gt;=MAX(Tablas!$G$117:$G$206),INDEX(Tablas!$A$117:$A$206,ROWS(Tablas!$G$117:$G$206)),INDEX(Tablas!$A$117:$A$206,MATCH((J18),Tablas!$G$117:$G$206,1))+((J18)-INDEX(Tablas!$G$117:$G$206,MATCH((J18),Tablas!$G$117:$G$206,1)))*(INDEX(Tablas!$A$117:$A$206,MATCH((J18),Tablas!$G$117:$G$206,1)+1)-INDEX(Tablas!$A$117:$A$206,MATCH((J18),Tablas!$G$117:$G$206,1)))/(INDEX(Tablas!$G$117:$G$206,MATCH((J18),Tablas!$G$117:$G$206,1)+1)-INDEX(Tablas!$G$117:$G$206,MATCH((J18),Tablas!$G$117:$G$206,1))))))</f>
        <v>0.273154134899294</v>
      </c>
      <c r="L18" s="42" t="n">
        <f aca="false">IF((K18)&lt;=MIN(Tablas!$A$117:$A$206),INDEX(Tablas!$F$117:$F$206,1),IF((K18)&gt;=MAX(Tablas!$A$117:$A$206),INDEX(Tablas!$F$117:$F$206,ROWS(Tablas!$A$117:$A$206)),INDEX(Tablas!$F$117:$F$206,MATCH((K18),Tablas!$A$117:$A$206,1))+((K18)-INDEX(Tablas!$A$117:$A$206,MATCH((K18),Tablas!$A$117:$A$206,1)))*(INDEX(Tablas!$F$117:$F$206,MATCH((K18),Tablas!$A$117:$A$206,1)+1)-INDEX(Tablas!$F$117:$F$206,MATCH((K18),Tablas!$A$117:$A$206,1)))/(INDEX(Tablas!$A$117:$A$206,MATCH((K18),Tablas!$A$117:$A$206,1)+1)-INDEX(Tablas!$A$117:$A$206,MATCH((K18),Tablas!$A$117:$A$206,1)))))</f>
        <v>0.736729698498656</v>
      </c>
      <c r="M18" s="28" t="n">
        <f aca="false">L18*I18</f>
        <v>0.743535575797609</v>
      </c>
      <c r="N18" s="42" t="n">
        <f aca="false">IF((K18)&lt;=MIN(Tablas!$A$117:$A$206),INDEX(Tablas!$E$117:$E$206,1),IF((K18)&gt;=MAX(Tablas!$A$117:$A$206),INDEX(Tablas!$E$117:$E$206,ROWS(Tablas!$A$117:$A$206)),INDEX(Tablas!$E$117:$E$206,MATCH((K18),Tablas!$A$117:$A$206,1))+((K18)-INDEX(Tablas!$A$117:$A$206,MATCH((K18),Tablas!$A$117:$A$206,1)))*(INDEX(Tablas!$E$117:$E$206,MATCH((K18),Tablas!$A$117:$A$206,1)+1)-INDEX(Tablas!$E$117:$E$206,MATCH((K18),Tablas!$A$117:$A$206,1)))/(INDEX(Tablas!$A$117:$A$206,MATCH((K18),Tablas!$A$117:$A$206,1)+1)-INDEX(Tablas!$A$117:$A$206,MATCH((K18),Tablas!$A$117:$A$206,1)))))</f>
        <v>0.63237833547433</v>
      </c>
      <c r="O18" s="29" t="n">
        <f aca="false">N18*E18/4</f>
        <v>0.0173113569336098</v>
      </c>
      <c r="P18" s="28" t="n">
        <f aca="false">9810*O18*F18</f>
        <v>1.69824411518712</v>
      </c>
      <c r="Q18" s="8" t="str">
        <f aca="false">IF(K18&lt;=$C$12,"CUMPLE","NO CUMPLE")</f>
        <v>CUMPLE</v>
      </c>
      <c r="R18" s="8" t="str">
        <f aca="false">IF(AND(M18&gt;=$C$9,M18&lt;=$C$10),"CUMPLE","NO CUMPLE")</f>
        <v>CUMPLE</v>
      </c>
      <c r="S18" s="8" t="str">
        <f aca="false">IF(P18&gt;=$C$11,"CUMPLE","NO CUMPLE")</f>
        <v>CUMPLE</v>
      </c>
    </row>
    <row r="19" customFormat="false" ht="15" hidden="false" customHeight="false" outlineLevel="0" collapsed="false">
      <c r="A19" s="9" t="s">
        <v>436</v>
      </c>
      <c r="B19" s="8" t="s">
        <v>437</v>
      </c>
      <c r="C19" s="43" t="n">
        <f aca="false">Aguas_Lluvias!$D$26</f>
        <v>9.51611951409761</v>
      </c>
      <c r="D19" s="10" t="s">
        <v>438</v>
      </c>
      <c r="E19" s="29" t="n">
        <f aca="false">INDEX(Tablas!$E$57:$E$61,MATCH(D19,Tablas!$A$57:$A$61,0))/1000</f>
        <v>0.16168</v>
      </c>
      <c r="F19" s="34" t="n">
        <v>0.01</v>
      </c>
      <c r="G19" s="42" t="n">
        <f aca="false">$C$8</f>
        <v>0.009</v>
      </c>
      <c r="H19" s="28" t="n">
        <f aca="false">1000/G19*(PI()*E19^2/4)*(E19/4)^(2/3)*SQRT(F19)</f>
        <v>26.8673095509125</v>
      </c>
      <c r="I19" s="28" t="n">
        <f aca="false">H19/1000/(PI()*E19^2/4)</f>
        <v>1.30864453746786</v>
      </c>
      <c r="J19" s="42" t="n">
        <f aca="false">C19/H19</f>
        <v>0.354189521509957</v>
      </c>
      <c r="K19" s="28" t="n">
        <f aca="false">IF(J19&gt;MAX(Tablas!$G$117:$G$206),1,IF((J19)&lt;=MIN(Tablas!$G$117:$G$206),INDEX(Tablas!$A$117:$A$206,1),IF((J19)&gt;=MAX(Tablas!$G$117:$G$206),INDEX(Tablas!$A$117:$A$206,ROWS(Tablas!$G$117:$G$206)),INDEX(Tablas!$A$117:$A$206,MATCH((J19),Tablas!$G$117:$G$206,1))+((J19)-INDEX(Tablas!$G$117:$G$206,MATCH((J19),Tablas!$G$117:$G$206,1)))*(INDEX(Tablas!$A$117:$A$206,MATCH((J19),Tablas!$G$117:$G$206,1)+1)-INDEX(Tablas!$A$117:$A$206,MATCH((J19),Tablas!$G$117:$G$206,1)))/(INDEX(Tablas!$G$117:$G$206,MATCH((J19),Tablas!$G$117:$G$206,1)+1)-INDEX(Tablas!$G$117:$G$206,MATCH((J19),Tablas!$G$117:$G$206,1))))))</f>
        <v>0.411071229247105</v>
      </c>
      <c r="L19" s="42" t="n">
        <f aca="false">IF((K19)&lt;=MIN(Tablas!$A$117:$A$206),INDEX(Tablas!$F$117:$F$206,1),IF((K19)&gt;=MAX(Tablas!$A$117:$A$206),INDEX(Tablas!$F$117:$F$206,ROWS(Tablas!$A$117:$A$206)),INDEX(Tablas!$F$117:$F$206,MATCH((K19),Tablas!$A$117:$A$206,1))+((K19)-INDEX(Tablas!$A$117:$A$206,MATCH((K19),Tablas!$A$117:$A$206,1)))*(INDEX(Tablas!$F$117:$F$206,MATCH((K19),Tablas!$A$117:$A$206,1)+1)-INDEX(Tablas!$F$117:$F$206,MATCH((K19),Tablas!$A$117:$A$206,1)))/(INDEX(Tablas!$A$117:$A$206,MATCH((K19),Tablas!$A$117:$A$206,1)+1)-INDEX(Tablas!$A$117:$A$206,MATCH((K19),Tablas!$A$117:$A$206,1)))))</f>
        <v>0.914300822815357</v>
      </c>
      <c r="M19" s="28" t="n">
        <f aca="false">L19*I19</f>
        <v>1.19649477737969</v>
      </c>
      <c r="N19" s="42" t="n">
        <f aca="false">IF((K19)&lt;=MIN(Tablas!$A$117:$A$206),INDEX(Tablas!$E$117:$E$206,1),IF((K19)&gt;=MAX(Tablas!$A$117:$A$206),INDEX(Tablas!$E$117:$E$206,ROWS(Tablas!$A$117:$A$206)),INDEX(Tablas!$E$117:$E$206,MATCH((K19),Tablas!$A$117:$A$206,1))+((K19)-INDEX(Tablas!$A$117:$A$206,MATCH((K19),Tablas!$A$117:$A$206,1)))*(INDEX(Tablas!$E$117:$E$206,MATCH((K19),Tablas!$A$117:$A$206,1)+1)-INDEX(Tablas!$E$117:$E$206,MATCH((K19),Tablas!$A$117:$A$206,1)))/(INDEX(Tablas!$A$117:$A$206,MATCH((K19),Tablas!$A$117:$A$206,1)+1)-INDEX(Tablas!$A$117:$A$206,MATCH((K19),Tablas!$A$117:$A$206,1)))))</f>
        <v>0.874250318754474</v>
      </c>
      <c r="O19" s="29" t="n">
        <f aca="false">N19*E19/4</f>
        <v>0.0353371978840558</v>
      </c>
      <c r="P19" s="28" t="n">
        <f aca="false">9810*O19*F19</f>
        <v>3.46657911242588</v>
      </c>
      <c r="Q19" s="8" t="str">
        <f aca="false">IF(K19&lt;=$C$12,"CUMPLE","NO CUMPLE")</f>
        <v>CUMPLE</v>
      </c>
      <c r="R19" s="8" t="str">
        <f aca="false">IF(AND(M19&gt;=$C$9,M19&lt;=$C$10),"CUMPLE","NO CUMPLE")</f>
        <v>CUMPLE</v>
      </c>
      <c r="S19" s="8" t="str">
        <f aca="false">IF(P19&gt;=$C$11,"CUMPLE","NO CUMPLE")</f>
        <v>CUMPLE</v>
      </c>
    </row>
    <row r="21" customFormat="false" ht="15" hidden="false" customHeight="false" outlineLevel="0" collapsed="false">
      <c r="A21" s="35" t="s">
        <v>439</v>
      </c>
      <c r="B21" s="35"/>
      <c r="C21" s="23" t="str">
        <f aca="false">IF(COUNTIF(Q16:Q19,"NO CUMPLE")=0,"CUMPLE","NO CUMPLE")</f>
        <v>CUMPLE</v>
      </c>
    </row>
    <row r="22" customFormat="false" ht="15" hidden="false" customHeight="false" outlineLevel="0" collapsed="false">
      <c r="A22" s="35" t="s">
        <v>440</v>
      </c>
      <c r="B22" s="35"/>
      <c r="C22" s="23" t="str">
        <f aca="false">IF(COUNTIF(R16:R19,"NO CUMPLE")=0,"CUMPLE","NO CUMPLE")</f>
        <v>CUMPLE</v>
      </c>
    </row>
    <row r="23" customFormat="false" ht="15" hidden="false" customHeight="false" outlineLevel="0" collapsed="false">
      <c r="A23" s="35" t="s">
        <v>441</v>
      </c>
      <c r="B23" s="35"/>
      <c r="C23" s="23" t="str">
        <f aca="false">IF(COUNTIF(S16:S19,"NO CUMPLE")=0,"CUMPLE","NO CUMPLE")</f>
        <v>CUMPLE</v>
      </c>
    </row>
    <row r="25" customFormat="false" ht="25.5" hidden="false" customHeight="true" outlineLevel="0" collapsed="false">
      <c r="B25" s="4" t="s">
        <v>442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</sheetData>
  <mergeCells count="20">
    <mergeCell ref="A1:S1"/>
    <mergeCell ref="A2:S2"/>
    <mergeCell ref="A3:S3"/>
    <mergeCell ref="B5:S5"/>
    <mergeCell ref="A7:S7"/>
    <mergeCell ref="A8:B8"/>
    <mergeCell ref="E8:J8"/>
    <mergeCell ref="A9:B9"/>
    <mergeCell ref="E9:J9"/>
    <mergeCell ref="A10:B10"/>
    <mergeCell ref="E10:J10"/>
    <mergeCell ref="A11:B11"/>
    <mergeCell ref="E11:J11"/>
    <mergeCell ref="A12:B12"/>
    <mergeCell ref="E12:J12"/>
    <mergeCell ref="A14:S14"/>
    <mergeCell ref="A21:B21"/>
    <mergeCell ref="A22:B22"/>
    <mergeCell ref="A23:B23"/>
    <mergeCell ref="B25:S25"/>
  </mergeCells>
  <conditionalFormatting sqref="Q16:S19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conditionalFormatting sqref="C21">
    <cfRule type="cellIs" priority="4" operator="equal" aboveAverage="0" equalAverage="0" bottom="0" percent="0" rank="0" text="" dxfId="0">
      <formula>"CUMPLE"</formula>
    </cfRule>
    <cfRule type="cellIs" priority="5" operator="equal" aboveAverage="0" equalAverage="0" bottom="0" percent="0" rank="0" text="" dxfId="1">
      <formula>"NO CUMPLE"</formula>
    </cfRule>
  </conditionalFormatting>
  <conditionalFormatting sqref="C22">
    <cfRule type="cellIs" priority="6" operator="equal" aboveAverage="0" equalAverage="0" bottom="0" percent="0" rank="0" text="" dxfId="0">
      <formula>"CUMPLE"</formula>
    </cfRule>
    <cfRule type="cellIs" priority="7" operator="equal" aboveAverage="0" equalAverage="0" bottom="0" percent="0" rank="0" text="" dxfId="1">
      <formula>"NO CUMPLE"</formula>
    </cfRule>
  </conditionalFormatting>
  <conditionalFormatting sqref="C23">
    <cfRule type="cellIs" priority="8" operator="equal" aboveAverage="0" equalAverage="0" bottom="0" percent="0" rank="0" text="" dxfId="0">
      <formula>"CUMPLE"</formula>
    </cfRule>
    <cfRule type="cellIs" priority="9" operator="equal" aboveAverage="0" equalAverage="0" bottom="0" percent="0" rank="0" text="" dxfId="1">
      <formula>"NO CUMPLE"</formula>
    </cfRule>
  </conditionalFormatting>
  <dataValidations count="4">
    <dataValidation allowBlank="false" errorStyle="stop" operator="between" showDropDown="false" showErrorMessage="false" showInputMessage="false" sqref="D16" type="list">
      <formula1>Tablas!$A$57:$A$61</formula1>
      <formula2>0</formula2>
    </dataValidation>
    <dataValidation allowBlank="false" errorStyle="stop" operator="between" showDropDown="false" showErrorMessage="false" showInputMessage="false" sqref="D17" type="list">
      <formula1>Tablas!$A$57:$A$61</formula1>
      <formula2>0</formula2>
    </dataValidation>
    <dataValidation allowBlank="false" errorStyle="stop" operator="between" showDropDown="false" showErrorMessage="false" showInputMessage="false" sqref="D18" type="list">
      <formula1>Tablas!$A$57:$A$61</formula1>
      <formula2>0</formula2>
    </dataValidation>
    <dataValidation allowBlank="false" errorStyle="stop" operator="between" showDropDown="false" showErrorMessage="false" showInputMessage="false" sqref="D19" type="list">
      <formula1>Tablas!$A$57:$A$61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443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6" customFormat="false" ht="15" hidden="false" customHeight="false" outlineLevel="0" collapsed="false">
      <c r="A6" s="6" t="s">
        <v>444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customFormat="false" ht="15" hidden="false" customHeight="false" outlineLevel="0" collapsed="false">
      <c r="A8" s="8" t="s">
        <v>12</v>
      </c>
      <c r="B8" s="9" t="s">
        <v>445</v>
      </c>
      <c r="C8" s="8" t="s">
        <v>446</v>
      </c>
      <c r="D8" s="15" t="n">
        <f aca="false">Datos!$D$26+Datos!$D$28</f>
        <v>2</v>
      </c>
      <c r="E8" s="8" t="s">
        <v>51</v>
      </c>
      <c r="F8" s="11" t="s">
        <v>447</v>
      </c>
    </row>
    <row r="9" customFormat="false" ht="15" hidden="false" customHeight="false" outlineLevel="0" collapsed="false">
      <c r="A9" s="8" t="s">
        <v>15</v>
      </c>
      <c r="B9" s="9" t="s">
        <v>448</v>
      </c>
      <c r="C9" s="8" t="s">
        <v>449</v>
      </c>
      <c r="D9" s="26" t="n">
        <v>0.25</v>
      </c>
      <c r="E9" s="8" t="s">
        <v>204</v>
      </c>
      <c r="F9" s="11" t="s">
        <v>450</v>
      </c>
    </row>
    <row r="10" customFormat="false" ht="15" hidden="false" customHeight="false" outlineLevel="0" collapsed="false">
      <c r="A10" s="8" t="s">
        <v>18</v>
      </c>
      <c r="B10" s="9" t="s">
        <v>451</v>
      </c>
      <c r="C10" s="8" t="s">
        <v>452</v>
      </c>
      <c r="D10" s="38" t="n">
        <f aca="false">$D$8*$D$9</f>
        <v>0.5</v>
      </c>
      <c r="E10" s="8" t="s">
        <v>204</v>
      </c>
      <c r="F10" s="11"/>
    </row>
    <row r="12" customFormat="false" ht="15" hidden="false" customHeight="false" outlineLevel="0" collapsed="false">
      <c r="A12" s="6" t="s">
        <v>453</v>
      </c>
      <c r="B12" s="6"/>
      <c r="C12" s="6"/>
      <c r="D12" s="6"/>
      <c r="E12" s="6"/>
      <c r="F12" s="6"/>
    </row>
    <row r="13" customFormat="false" ht="15" hidden="false" customHeight="false" outlineLevel="0" collapsed="false">
      <c r="A13" s="7" t="s">
        <v>6</v>
      </c>
      <c r="B13" s="7" t="s">
        <v>7</v>
      </c>
      <c r="C13" s="7" t="s">
        <v>8</v>
      </c>
      <c r="D13" s="7" t="s">
        <v>9</v>
      </c>
      <c r="E13" s="7" t="s">
        <v>10</v>
      </c>
      <c r="F13" s="7" t="s">
        <v>11</v>
      </c>
    </row>
    <row r="14" customFormat="false" ht="22.35" hidden="false" customHeight="false" outlineLevel="0" collapsed="false">
      <c r="A14" s="8" t="s">
        <v>48</v>
      </c>
      <c r="B14" s="9" t="s">
        <v>454</v>
      </c>
      <c r="C14" s="8" t="s">
        <v>455</v>
      </c>
      <c r="D14" s="15" t="n">
        <f aca="false">IF($D$10&lt;10,3,IF($D$10&lt;20,4,5))</f>
        <v>3</v>
      </c>
      <c r="E14" s="8" t="s">
        <v>339</v>
      </c>
      <c r="F14" s="11" t="s">
        <v>456</v>
      </c>
    </row>
    <row r="15" customFormat="false" ht="15" hidden="false" customHeight="false" outlineLevel="0" collapsed="false">
      <c r="A15" s="8" t="s">
        <v>52</v>
      </c>
      <c r="B15" s="9" t="s">
        <v>457</v>
      </c>
      <c r="C15" s="8" t="s">
        <v>458</v>
      </c>
      <c r="D15" s="20" t="n">
        <f aca="false">$D$10*$D$14*60</f>
        <v>90</v>
      </c>
      <c r="E15" s="8" t="s">
        <v>459</v>
      </c>
      <c r="F15" s="11"/>
    </row>
    <row r="16" customFormat="false" ht="23.85" hidden="false" customHeight="false" outlineLevel="0" collapsed="false">
      <c r="A16" s="8" t="s">
        <v>55</v>
      </c>
      <c r="B16" s="9" t="s">
        <v>460</v>
      </c>
      <c r="C16" s="8" t="s">
        <v>461</v>
      </c>
      <c r="D16" s="14" t="n">
        <v>150</v>
      </c>
      <c r="E16" s="8" t="s">
        <v>459</v>
      </c>
      <c r="F16" s="11" t="s">
        <v>462</v>
      </c>
    </row>
    <row r="17" customFormat="false" ht="15" hidden="false" customHeight="false" outlineLevel="0" collapsed="false">
      <c r="A17" s="8" t="s">
        <v>58</v>
      </c>
      <c r="B17" s="9" t="s">
        <v>463</v>
      </c>
      <c r="C17" s="8" t="s">
        <v>464</v>
      </c>
      <c r="D17" s="21" t="n">
        <f aca="false">MAX($D$15,$D$16)</f>
        <v>150</v>
      </c>
      <c r="E17" s="8" t="s">
        <v>459</v>
      </c>
      <c r="F17" s="11"/>
    </row>
    <row r="19" customFormat="false" ht="15" hidden="false" customHeight="false" outlineLevel="0" collapsed="false">
      <c r="A19" s="6" t="s">
        <v>465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A20" s="7" t="s">
        <v>6</v>
      </c>
      <c r="B20" s="7" t="s">
        <v>7</v>
      </c>
      <c r="C20" s="7" t="s">
        <v>8</v>
      </c>
      <c r="D20" s="7" t="s">
        <v>9</v>
      </c>
      <c r="E20" s="7" t="s">
        <v>10</v>
      </c>
      <c r="F20" s="7" t="s">
        <v>11</v>
      </c>
    </row>
    <row r="21" customFormat="false" ht="15" hidden="false" customHeight="false" outlineLevel="0" collapsed="false">
      <c r="A21" s="8" t="s">
        <v>131</v>
      </c>
      <c r="B21" s="9" t="s">
        <v>466</v>
      </c>
      <c r="C21" s="8" t="s">
        <v>467</v>
      </c>
      <c r="D21" s="26" t="n">
        <v>0.4</v>
      </c>
      <c r="E21" s="8" t="s">
        <v>368</v>
      </c>
      <c r="F21" s="11"/>
    </row>
    <row r="22" customFormat="false" ht="15" hidden="false" customHeight="false" outlineLevel="0" collapsed="false">
      <c r="A22" s="8" t="s">
        <v>135</v>
      </c>
      <c r="B22" s="9" t="s">
        <v>468</v>
      </c>
      <c r="C22" s="8" t="s">
        <v>459</v>
      </c>
      <c r="D22" s="26" t="n">
        <v>0.8</v>
      </c>
      <c r="E22" s="8" t="s">
        <v>368</v>
      </c>
      <c r="F22" s="11"/>
    </row>
    <row r="23" customFormat="false" ht="15" hidden="false" customHeight="false" outlineLevel="0" collapsed="false">
      <c r="A23" s="8" t="s">
        <v>139</v>
      </c>
      <c r="B23" s="9" t="s">
        <v>469</v>
      </c>
      <c r="C23" s="8" t="s">
        <v>370</v>
      </c>
      <c r="D23" s="26" t="n">
        <v>0.5</v>
      </c>
      <c r="E23" s="8" t="s">
        <v>368</v>
      </c>
      <c r="F23" s="11" t="s">
        <v>470</v>
      </c>
    </row>
    <row r="24" customFormat="false" ht="15" hidden="false" customHeight="false" outlineLevel="0" collapsed="false">
      <c r="A24" s="8" t="s">
        <v>229</v>
      </c>
      <c r="B24" s="9" t="s">
        <v>471</v>
      </c>
      <c r="C24" s="8" t="s">
        <v>472</v>
      </c>
      <c r="D24" s="20" t="n">
        <f aca="false">$D$21*$D$22*$D$23*1000</f>
        <v>160</v>
      </c>
      <c r="E24" s="8" t="s">
        <v>459</v>
      </c>
      <c r="F24" s="11"/>
    </row>
    <row r="25" customFormat="false" ht="15" hidden="false" customHeight="false" outlineLevel="0" collapsed="false">
      <c r="A25" s="8" t="s">
        <v>232</v>
      </c>
      <c r="B25" s="9" t="s">
        <v>473</v>
      </c>
      <c r="C25" s="8" t="s">
        <v>159</v>
      </c>
      <c r="D25" s="18" t="str">
        <f aca="false">IF($D$24&gt;=$D$17,"CUMPLE","NO CUMPLE")</f>
        <v>CUMPLE</v>
      </c>
      <c r="E25" s="8"/>
      <c r="F25" s="11"/>
    </row>
    <row r="26" customFormat="false" ht="15" hidden="false" customHeight="false" outlineLevel="0" collapsed="false">
      <c r="A26" s="8" t="s">
        <v>236</v>
      </c>
      <c r="B26" s="9" t="s">
        <v>474</v>
      </c>
      <c r="C26" s="8" t="s">
        <v>380</v>
      </c>
      <c r="D26" s="42" t="n">
        <f aca="false">$D$21*$D$22</f>
        <v>0.32</v>
      </c>
      <c r="E26" s="8" t="s">
        <v>79</v>
      </c>
      <c r="F26" s="11"/>
    </row>
    <row r="27" customFormat="false" ht="15" hidden="false" customHeight="false" outlineLevel="0" collapsed="false">
      <c r="A27" s="8" t="s">
        <v>239</v>
      </c>
      <c r="B27" s="9" t="s">
        <v>475</v>
      </c>
      <c r="C27" s="8" t="s">
        <v>159</v>
      </c>
      <c r="D27" s="18" t="str">
        <f aca="false">IF($D$26&gt;=0.25*$D$10,"CUMPLE","NO CUMPLE")</f>
        <v>CUMPLE</v>
      </c>
      <c r="E27" s="8"/>
      <c r="F27" s="11" t="s">
        <v>476</v>
      </c>
    </row>
    <row r="28" customFormat="false" ht="15" hidden="false" customHeight="false" outlineLevel="0" collapsed="false">
      <c r="A28" s="8" t="s">
        <v>243</v>
      </c>
      <c r="B28" s="9" t="s">
        <v>477</v>
      </c>
      <c r="C28" s="8" t="s">
        <v>478</v>
      </c>
      <c r="D28" s="28" t="n">
        <f aca="false">$D$10/1000/$D$26*1000</f>
        <v>1.5625</v>
      </c>
      <c r="E28" s="8" t="s">
        <v>479</v>
      </c>
      <c r="F28" s="11"/>
    </row>
    <row r="29" customFormat="false" ht="15" hidden="false" customHeight="false" outlineLevel="0" collapsed="false">
      <c r="A29" s="8" t="s">
        <v>246</v>
      </c>
      <c r="B29" s="9" t="s">
        <v>480</v>
      </c>
      <c r="C29" s="8" t="s">
        <v>159</v>
      </c>
      <c r="D29" s="18" t="str">
        <f aca="false">IF($D$28&lt;=4,"CUMPLE","NO CUMPLE")</f>
        <v>CUMPLE</v>
      </c>
      <c r="E29" s="8"/>
      <c r="F29" s="11" t="s">
        <v>476</v>
      </c>
    </row>
    <row r="30" customFormat="false" ht="25.5" hidden="false" customHeight="true" outlineLevel="0" collapsed="false">
      <c r="B30" s="4" t="s">
        <v>481</v>
      </c>
      <c r="C30" s="4"/>
      <c r="D30" s="4"/>
      <c r="E30" s="4"/>
      <c r="F30" s="4"/>
    </row>
  </sheetData>
  <mergeCells count="7">
    <mergeCell ref="A1:F1"/>
    <mergeCell ref="A2:F2"/>
    <mergeCell ref="A3:F3"/>
    <mergeCell ref="A6:F6"/>
    <mergeCell ref="A12:F12"/>
    <mergeCell ref="A19:F19"/>
    <mergeCell ref="B30:F30"/>
  </mergeCells>
  <conditionalFormatting sqref="D25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conditionalFormatting sqref="D27">
    <cfRule type="cellIs" priority="4" operator="equal" aboveAverage="0" equalAverage="0" bottom="0" percent="0" rank="0" text="" dxfId="0">
      <formula>"CUMPLE"</formula>
    </cfRule>
    <cfRule type="cellIs" priority="5" operator="equal" aboveAverage="0" equalAverage="0" bottom="0" percent="0" rank="0" text="" dxfId="1">
      <formula>"NO CUMPLE"</formula>
    </cfRule>
  </conditionalFormatting>
  <conditionalFormatting sqref="D29">
    <cfRule type="cellIs" priority="6" operator="equal" aboveAverage="0" equalAverage="0" bottom="0" percent="0" rank="0" text="" dxfId="0">
      <formula>"CUMPLE"</formula>
    </cfRule>
    <cfRule type="cellIs" priority="7" operator="equal" aboveAverage="0" equalAverage="0" bottom="0" percent="0" rank="0" text="" dxfId="1">
      <formula>"NO CUMPLE"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482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6" customFormat="false" ht="15" hidden="false" customHeight="false" outlineLevel="0" collapsed="false">
      <c r="A6" s="6" t="s">
        <v>483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customFormat="false" ht="15" hidden="false" customHeight="false" outlineLevel="0" collapsed="false">
      <c r="A8" s="8" t="s">
        <v>12</v>
      </c>
      <c r="B8" s="9" t="s">
        <v>484</v>
      </c>
      <c r="C8" s="8" t="s">
        <v>241</v>
      </c>
      <c r="D8" s="44" t="n">
        <f aca="false">Caudales_AR!$D$27</f>
        <v>1530</v>
      </c>
      <c r="E8" s="8" t="s">
        <v>242</v>
      </c>
      <c r="F8" s="11" t="s">
        <v>485</v>
      </c>
    </row>
    <row r="9" customFormat="false" ht="15" hidden="false" customHeight="false" outlineLevel="0" collapsed="false">
      <c r="A9" s="8" t="s">
        <v>15</v>
      </c>
      <c r="B9" s="9" t="s">
        <v>486</v>
      </c>
      <c r="C9" s="8" t="s">
        <v>29</v>
      </c>
      <c r="D9" s="28" t="n">
        <f aca="false">INDEX(Tablas!$B$82:$B$88,MATCH($D$8,Tablas!$A$82:$A$88,1))</f>
        <v>0.92</v>
      </c>
      <c r="E9" s="8" t="s">
        <v>329</v>
      </c>
      <c r="F9" s="11" t="s">
        <v>487</v>
      </c>
    </row>
    <row r="10" customFormat="false" ht="15" hidden="false" customHeight="false" outlineLevel="0" collapsed="false">
      <c r="A10" s="8" t="s">
        <v>18</v>
      </c>
      <c r="B10" s="9" t="s">
        <v>488</v>
      </c>
      <c r="C10" s="8" t="s">
        <v>489</v>
      </c>
      <c r="D10" s="14" t="n">
        <v>2</v>
      </c>
      <c r="E10" s="8" t="s">
        <v>142</v>
      </c>
      <c r="F10" s="11" t="s">
        <v>490</v>
      </c>
    </row>
    <row r="11" customFormat="false" ht="15" hidden="false" customHeight="false" outlineLevel="0" collapsed="false">
      <c r="A11" s="8" t="s">
        <v>22</v>
      </c>
      <c r="B11" s="9" t="s">
        <v>491</v>
      </c>
      <c r="C11" s="8" t="s">
        <v>159</v>
      </c>
      <c r="D11" s="18" t="str">
        <f aca="false">IF(AND($D$10&gt;=1,$D$10&lt;=5,$D$10=INT($D$10)),"CUMPLE","NO CUMPLE")</f>
        <v>CUMPLE</v>
      </c>
      <c r="E11" s="8"/>
      <c r="F11" s="11" t="s">
        <v>492</v>
      </c>
    </row>
    <row r="12" customFormat="false" ht="15" hidden="false" customHeight="false" outlineLevel="0" collapsed="false">
      <c r="A12" s="8" t="s">
        <v>27</v>
      </c>
      <c r="B12" s="9" t="s">
        <v>493</v>
      </c>
      <c r="C12" s="8"/>
      <c r="D12" s="15" t="n">
        <f aca="false">IF(Datos!$D$14&lt;=10,1,IF(Datos!$D$14&lt;=20,2,3))</f>
        <v>2</v>
      </c>
      <c r="E12" s="8"/>
      <c r="F12" s="11" t="s">
        <v>494</v>
      </c>
    </row>
    <row r="13" customFormat="false" ht="15" hidden="false" customHeight="false" outlineLevel="0" collapsed="false">
      <c r="A13" s="8" t="s">
        <v>32</v>
      </c>
      <c r="B13" s="9" t="s">
        <v>495</v>
      </c>
      <c r="C13" s="8" t="s">
        <v>496</v>
      </c>
      <c r="D13" s="15" t="n">
        <f aca="false">CHOOSE($D$12,INDEX(Tablas!$B$92:$B$96,$D$10),INDEX(Tablas!$C$92:$C$96,$D$10),INDEX(Tablas!$D$92:$D$96,$D$10))</f>
        <v>105</v>
      </c>
      <c r="E13" s="8" t="s">
        <v>329</v>
      </c>
      <c r="F13" s="11" t="s">
        <v>492</v>
      </c>
    </row>
    <row r="14" customFormat="false" ht="15" hidden="false" customHeight="false" outlineLevel="0" collapsed="false">
      <c r="A14" s="8" t="s">
        <v>36</v>
      </c>
      <c r="B14" s="9" t="s">
        <v>497</v>
      </c>
      <c r="C14" s="8" t="s">
        <v>245</v>
      </c>
      <c r="D14" s="45" t="n">
        <f aca="false">Caudales_AR!$D$28</f>
        <v>11.4</v>
      </c>
      <c r="E14" s="8" t="s">
        <v>242</v>
      </c>
      <c r="F14" s="11" t="s">
        <v>485</v>
      </c>
    </row>
    <row r="16" customFormat="false" ht="15" hidden="false" customHeight="false" outlineLevel="0" collapsed="false">
      <c r="A16" s="6" t="s">
        <v>498</v>
      </c>
      <c r="B16" s="6"/>
      <c r="C16" s="6"/>
      <c r="D16" s="6"/>
      <c r="E16" s="6"/>
      <c r="F16" s="6"/>
    </row>
    <row r="17" customFormat="false" ht="15" hidden="false" customHeight="false" outlineLevel="0" collapsed="false">
      <c r="A17" s="7" t="s">
        <v>6</v>
      </c>
      <c r="B17" s="7" t="s">
        <v>7</v>
      </c>
      <c r="C17" s="7" t="s">
        <v>8</v>
      </c>
      <c r="D17" s="7" t="s">
        <v>9</v>
      </c>
      <c r="E17" s="7" t="s">
        <v>10</v>
      </c>
      <c r="F17" s="7" t="s">
        <v>11</v>
      </c>
    </row>
    <row r="18" customFormat="false" ht="15" hidden="false" customHeight="false" outlineLevel="0" collapsed="false">
      <c r="A18" s="8" t="s">
        <v>48</v>
      </c>
      <c r="B18" s="9" t="s">
        <v>499</v>
      </c>
      <c r="C18" s="8" t="s">
        <v>500</v>
      </c>
      <c r="D18" s="32" t="n">
        <f aca="false">1000+$D$8*$D$9+$D$13*$D$14</f>
        <v>3604.6</v>
      </c>
      <c r="E18" s="8" t="s">
        <v>459</v>
      </c>
      <c r="F18" s="11" t="s">
        <v>501</v>
      </c>
    </row>
    <row r="19" customFormat="false" ht="15" hidden="false" customHeight="false" outlineLevel="0" collapsed="false">
      <c r="A19" s="8" t="s">
        <v>52</v>
      </c>
      <c r="B19" s="9" t="s">
        <v>502</v>
      </c>
      <c r="C19" s="8" t="s">
        <v>500</v>
      </c>
      <c r="D19" s="28" t="n">
        <f aca="false">$D$18/1000</f>
        <v>3.6046</v>
      </c>
      <c r="E19" s="8" t="s">
        <v>503</v>
      </c>
      <c r="F19" s="11"/>
    </row>
    <row r="21" customFormat="false" ht="15" hidden="false" customHeight="false" outlineLevel="0" collapsed="false">
      <c r="A21" s="6" t="s">
        <v>504</v>
      </c>
      <c r="B21" s="6"/>
      <c r="C21" s="6"/>
      <c r="D21" s="6"/>
      <c r="E21" s="6"/>
      <c r="F21" s="6"/>
    </row>
    <row r="22" customFormat="false" ht="15" hidden="false" customHeight="false" outlineLevel="0" collapsed="false">
      <c r="A22" s="7" t="s">
        <v>6</v>
      </c>
      <c r="B22" s="7" t="s">
        <v>7</v>
      </c>
      <c r="C22" s="7" t="s">
        <v>8</v>
      </c>
      <c r="D22" s="7" t="s">
        <v>9</v>
      </c>
      <c r="E22" s="7" t="s">
        <v>10</v>
      </c>
      <c r="F22" s="7" t="s">
        <v>11</v>
      </c>
    </row>
    <row r="23" customFormat="false" ht="15" hidden="false" customHeight="false" outlineLevel="0" collapsed="false">
      <c r="A23" s="8" t="s">
        <v>131</v>
      </c>
      <c r="B23" s="9" t="s">
        <v>469</v>
      </c>
      <c r="C23" s="8" t="s">
        <v>370</v>
      </c>
      <c r="D23" s="26" t="n">
        <v>1.5</v>
      </c>
      <c r="E23" s="8" t="s">
        <v>368</v>
      </c>
      <c r="F23" s="11"/>
    </row>
    <row r="24" customFormat="false" ht="15" hidden="false" customHeight="false" outlineLevel="0" collapsed="false">
      <c r="A24" s="8" t="s">
        <v>135</v>
      </c>
      <c r="B24" s="9" t="s">
        <v>505</v>
      </c>
      <c r="C24" s="8" t="s">
        <v>506</v>
      </c>
      <c r="D24" s="28" t="n">
        <f aca="false">INDEX(Tablas!$B$100:$B$102,MATCH($D$19,Tablas!$A$100:$A$102,1))</f>
        <v>1.2</v>
      </c>
      <c r="E24" s="8" t="s">
        <v>368</v>
      </c>
      <c r="F24" s="11" t="s">
        <v>507</v>
      </c>
    </row>
    <row r="25" customFormat="false" ht="15" hidden="false" customHeight="false" outlineLevel="0" collapsed="false">
      <c r="A25" s="8" t="s">
        <v>139</v>
      </c>
      <c r="B25" s="9" t="s">
        <v>508</v>
      </c>
      <c r="C25" s="8" t="s">
        <v>509</v>
      </c>
      <c r="D25" s="28" t="n">
        <f aca="false">INDEX(Tablas!$C$100:$C$102,MATCH($D$19,Tablas!$A$100:$A$102,1))</f>
        <v>2.2</v>
      </c>
      <c r="E25" s="8" t="s">
        <v>368</v>
      </c>
      <c r="F25" s="11" t="s">
        <v>507</v>
      </c>
    </row>
    <row r="26" customFormat="false" ht="15" hidden="false" customHeight="false" outlineLevel="0" collapsed="false">
      <c r="A26" s="8" t="s">
        <v>229</v>
      </c>
      <c r="B26" s="9" t="s">
        <v>510</v>
      </c>
      <c r="C26" s="8" t="s">
        <v>159</v>
      </c>
      <c r="D26" s="18" t="str">
        <f aca="false">IF(AND($D$23&gt;=$D$24,$D$23&lt;=$D$25),"CUMPLE","NO CUMPLE")</f>
        <v>CUMPLE</v>
      </c>
      <c r="E26" s="8"/>
      <c r="F26" s="11" t="s">
        <v>507</v>
      </c>
    </row>
    <row r="27" customFormat="false" ht="15" hidden="false" customHeight="false" outlineLevel="0" collapsed="false">
      <c r="A27" s="8" t="s">
        <v>232</v>
      </c>
      <c r="B27" s="9" t="s">
        <v>511</v>
      </c>
      <c r="C27" s="8" t="s">
        <v>467</v>
      </c>
      <c r="D27" s="26" t="n">
        <v>1.1</v>
      </c>
      <c r="E27" s="8" t="s">
        <v>368</v>
      </c>
      <c r="F27" s="11"/>
    </row>
    <row r="28" customFormat="false" ht="15" hidden="false" customHeight="false" outlineLevel="0" collapsed="false">
      <c r="A28" s="8" t="s">
        <v>236</v>
      </c>
      <c r="B28" s="9" t="s">
        <v>512</v>
      </c>
      <c r="C28" s="8" t="s">
        <v>159</v>
      </c>
      <c r="D28" s="18" t="str">
        <f aca="false">IF($D$27&gt;=0.8,"CUMPLE","NO CUMPLE")</f>
        <v>CUMPLE</v>
      </c>
      <c r="E28" s="8"/>
      <c r="F28" s="11" t="s">
        <v>513</v>
      </c>
    </row>
    <row r="29" customFormat="false" ht="15" hidden="false" customHeight="false" outlineLevel="0" collapsed="false">
      <c r="A29" s="8" t="s">
        <v>239</v>
      </c>
      <c r="B29" s="9" t="s">
        <v>514</v>
      </c>
      <c r="C29" s="8" t="s">
        <v>515</v>
      </c>
      <c r="D29" s="28" t="n">
        <f aca="false">$D$19/($D$23*$D$27)</f>
        <v>2.18460606060606</v>
      </c>
      <c r="E29" s="8" t="s">
        <v>368</v>
      </c>
      <c r="F29" s="11"/>
    </row>
    <row r="30" customFormat="false" ht="15" hidden="false" customHeight="false" outlineLevel="0" collapsed="false">
      <c r="A30" s="8" t="s">
        <v>243</v>
      </c>
      <c r="B30" s="9" t="s">
        <v>516</v>
      </c>
      <c r="C30" s="8" t="s">
        <v>459</v>
      </c>
      <c r="D30" s="26" t="n">
        <v>2.3</v>
      </c>
      <c r="E30" s="8" t="s">
        <v>368</v>
      </c>
      <c r="F30" s="11"/>
    </row>
    <row r="31" customFormat="false" ht="15" hidden="false" customHeight="false" outlineLevel="0" collapsed="false">
      <c r="A31" s="8" t="s">
        <v>246</v>
      </c>
      <c r="B31" s="9" t="s">
        <v>517</v>
      </c>
      <c r="C31" s="8" t="s">
        <v>518</v>
      </c>
      <c r="D31" s="28" t="n">
        <f aca="false">$D$30/$D$27</f>
        <v>2.09090909090909</v>
      </c>
      <c r="E31" s="8"/>
      <c r="F31" s="11"/>
    </row>
    <row r="32" customFormat="false" ht="15" hidden="false" customHeight="false" outlineLevel="0" collapsed="false">
      <c r="A32" s="8" t="s">
        <v>250</v>
      </c>
      <c r="B32" s="9" t="s">
        <v>519</v>
      </c>
      <c r="C32" s="8" t="s">
        <v>159</v>
      </c>
      <c r="D32" s="18" t="str">
        <f aca="false">IF(AND($D$31&gt;=2,$D$31&lt;=4),"CUMPLE","NO CUMPLE")</f>
        <v>CUMPLE</v>
      </c>
      <c r="E32" s="8"/>
      <c r="F32" s="11" t="s">
        <v>520</v>
      </c>
    </row>
    <row r="33" customFormat="false" ht="15" hidden="false" customHeight="false" outlineLevel="0" collapsed="false">
      <c r="A33" s="8" t="s">
        <v>385</v>
      </c>
      <c r="B33" s="9" t="s">
        <v>521</v>
      </c>
      <c r="C33" s="8" t="s">
        <v>472</v>
      </c>
      <c r="D33" s="28" t="n">
        <f aca="false">$D$23*$D$27*$D$30</f>
        <v>3.795</v>
      </c>
      <c r="E33" s="8" t="s">
        <v>503</v>
      </c>
      <c r="F33" s="11"/>
    </row>
    <row r="34" customFormat="false" ht="15" hidden="false" customHeight="false" outlineLevel="0" collapsed="false">
      <c r="A34" s="8" t="s">
        <v>522</v>
      </c>
      <c r="B34" s="9" t="s">
        <v>523</v>
      </c>
      <c r="C34" s="8" t="s">
        <v>159</v>
      </c>
      <c r="D34" s="18" t="str">
        <f aca="false">IF($D$33&gt;=$D$19,"CUMPLE","NO CUMPLE")</f>
        <v>CUMPLE</v>
      </c>
      <c r="E34" s="8"/>
      <c r="F34" s="11"/>
    </row>
    <row r="35" customFormat="false" ht="15" hidden="false" customHeight="false" outlineLevel="0" collapsed="false">
      <c r="A35" s="8" t="s">
        <v>524</v>
      </c>
      <c r="B35" s="9" t="s">
        <v>525</v>
      </c>
      <c r="C35" s="8" t="s">
        <v>526</v>
      </c>
      <c r="D35" s="28" t="n">
        <f aca="false">2/3*$D$30</f>
        <v>1.53333333333333</v>
      </c>
      <c r="E35" s="8" t="s">
        <v>368</v>
      </c>
      <c r="F35" s="11"/>
    </row>
    <row r="36" customFormat="false" ht="15" hidden="false" customHeight="false" outlineLevel="0" collapsed="false">
      <c r="A36" s="8" t="s">
        <v>527</v>
      </c>
      <c r="B36" s="9" t="s">
        <v>528</v>
      </c>
      <c r="C36" s="8" t="s">
        <v>529</v>
      </c>
      <c r="D36" s="28" t="n">
        <f aca="false">1/3*$D$30</f>
        <v>0.766666666666667</v>
      </c>
      <c r="E36" s="8" t="s">
        <v>368</v>
      </c>
      <c r="F36" s="11"/>
    </row>
    <row r="37" customFormat="false" ht="15" hidden="false" customHeight="false" outlineLevel="0" collapsed="false">
      <c r="A37" s="8" t="s">
        <v>530</v>
      </c>
      <c r="B37" s="9" t="s">
        <v>531</v>
      </c>
      <c r="C37" s="8" t="s">
        <v>532</v>
      </c>
      <c r="D37" s="26" t="n">
        <v>0.3</v>
      </c>
      <c r="E37" s="8" t="s">
        <v>368</v>
      </c>
      <c r="F37" s="11"/>
    </row>
    <row r="38" customFormat="false" ht="15" hidden="false" customHeight="false" outlineLevel="0" collapsed="false">
      <c r="A38" s="8" t="s">
        <v>533</v>
      </c>
      <c r="B38" s="9" t="s">
        <v>534</v>
      </c>
      <c r="C38" s="8" t="s">
        <v>535</v>
      </c>
      <c r="D38" s="28" t="n">
        <f aca="false">$D$23+$D$37</f>
        <v>1.8</v>
      </c>
      <c r="E38" s="8" t="s">
        <v>368</v>
      </c>
      <c r="F38" s="11"/>
    </row>
    <row r="39" customFormat="false" ht="25.5" hidden="false" customHeight="true" outlineLevel="0" collapsed="false">
      <c r="B39" s="4" t="s">
        <v>536</v>
      </c>
      <c r="C39" s="4"/>
      <c r="D39" s="4"/>
      <c r="E39" s="4"/>
      <c r="F39" s="4"/>
    </row>
  </sheetData>
  <mergeCells count="7">
    <mergeCell ref="A1:F1"/>
    <mergeCell ref="A2:F2"/>
    <mergeCell ref="A3:F3"/>
    <mergeCell ref="A6:F6"/>
    <mergeCell ref="A16:F16"/>
    <mergeCell ref="A21:F21"/>
    <mergeCell ref="B39:F39"/>
  </mergeCells>
  <conditionalFormatting sqref="D11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conditionalFormatting sqref="D26">
    <cfRule type="cellIs" priority="4" operator="equal" aboveAverage="0" equalAverage="0" bottom="0" percent="0" rank="0" text="" dxfId="0">
      <formula>"CUMPLE"</formula>
    </cfRule>
    <cfRule type="cellIs" priority="5" operator="equal" aboveAverage="0" equalAverage="0" bottom="0" percent="0" rank="0" text="" dxfId="1">
      <formula>"NO CUMPLE"</formula>
    </cfRule>
  </conditionalFormatting>
  <conditionalFormatting sqref="D28">
    <cfRule type="cellIs" priority="6" operator="equal" aboveAverage="0" equalAverage="0" bottom="0" percent="0" rank="0" text="" dxfId="0">
      <formula>"CUMPLE"</formula>
    </cfRule>
    <cfRule type="cellIs" priority="7" operator="equal" aboveAverage="0" equalAverage="0" bottom="0" percent="0" rank="0" text="" dxfId="1">
      <formula>"NO CUMPLE"</formula>
    </cfRule>
  </conditionalFormatting>
  <conditionalFormatting sqref="D32">
    <cfRule type="cellIs" priority="8" operator="equal" aboveAverage="0" equalAverage="0" bottom="0" percent="0" rank="0" text="" dxfId="0">
      <formula>"CUMPLE"</formula>
    </cfRule>
    <cfRule type="cellIs" priority="9" operator="equal" aboveAverage="0" equalAverage="0" bottom="0" percent="0" rank="0" text="" dxfId="1">
      <formula>"NO CUMPLE"</formula>
    </cfRule>
  </conditionalFormatting>
  <conditionalFormatting sqref="D34">
    <cfRule type="cellIs" priority="10" operator="equal" aboveAverage="0" equalAverage="0" bottom="0" percent="0" rank="0" text="" dxfId="0">
      <formula>"CUMPLE"</formula>
    </cfRule>
    <cfRule type="cellIs" priority="11" operator="equal" aboveAverage="0" equalAverage="0" bottom="0" percent="0" rank="0" text="" dxfId="1">
      <formula>"NO CUMPLE"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537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6" customFormat="false" ht="15" hidden="false" customHeight="false" outlineLevel="0" collapsed="false">
      <c r="A6" s="6" t="s">
        <v>538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customFormat="false" ht="15" hidden="false" customHeight="false" outlineLevel="0" collapsed="false">
      <c r="A8" s="8" t="s">
        <v>12</v>
      </c>
      <c r="B8" s="9" t="s">
        <v>484</v>
      </c>
      <c r="C8" s="8" t="s">
        <v>241</v>
      </c>
      <c r="D8" s="44" t="n">
        <f aca="false">Caudales_AR!$D$27</f>
        <v>1530</v>
      </c>
      <c r="E8" s="8" t="s">
        <v>242</v>
      </c>
      <c r="F8" s="11" t="s">
        <v>485</v>
      </c>
    </row>
    <row r="9" customFormat="false" ht="15" hidden="false" customHeight="false" outlineLevel="0" collapsed="false">
      <c r="A9" s="8" t="s">
        <v>15</v>
      </c>
      <c r="B9" s="9" t="s">
        <v>539</v>
      </c>
      <c r="C9" s="8"/>
      <c r="D9" s="15" t="n">
        <f aca="false">IF(Datos!$D$14&lt;15,1,IF(Datos!$D$14&lt;=25,2,3))</f>
        <v>2</v>
      </c>
      <c r="E9" s="8"/>
      <c r="F9" s="11"/>
    </row>
    <row r="10" customFormat="false" ht="15" hidden="false" customHeight="false" outlineLevel="0" collapsed="false">
      <c r="A10" s="8" t="s">
        <v>18</v>
      </c>
      <c r="B10" s="9" t="s">
        <v>540</v>
      </c>
      <c r="C10" s="8"/>
      <c r="D10" s="15" t="n">
        <f aca="false">MATCH($D$8,Tablas!$A$106:$A$112,1)</f>
        <v>2</v>
      </c>
      <c r="E10" s="8"/>
      <c r="F10" s="11"/>
    </row>
    <row r="11" customFormat="false" ht="15" hidden="false" customHeight="false" outlineLevel="0" collapsed="false">
      <c r="A11" s="8" t="s">
        <v>22</v>
      </c>
      <c r="B11" s="9" t="s">
        <v>541</v>
      </c>
      <c r="C11" s="8" t="s">
        <v>29</v>
      </c>
      <c r="D11" s="28" t="n">
        <f aca="false">CHOOSE($D$9,INDEX(Tablas!$B$106:$B$112,$D$10),INDEX(Tablas!$C$106:$C$112,$D$10),INDEX(Tablas!$D$106:$D$112,$D$10))</f>
        <v>0.92</v>
      </c>
      <c r="E11" s="8" t="s">
        <v>329</v>
      </c>
      <c r="F11" s="11" t="s">
        <v>542</v>
      </c>
    </row>
    <row r="12" customFormat="false" ht="15" hidden="false" customHeight="false" outlineLevel="0" collapsed="false">
      <c r="A12" s="8" t="s">
        <v>27</v>
      </c>
      <c r="B12" s="9" t="s">
        <v>543</v>
      </c>
      <c r="C12" s="8" t="s">
        <v>500</v>
      </c>
      <c r="D12" s="33" t="n">
        <f aca="false">1.6*$D$8*$D$11</f>
        <v>2252.16</v>
      </c>
      <c r="E12" s="8" t="s">
        <v>459</v>
      </c>
      <c r="F12" s="11" t="s">
        <v>544</v>
      </c>
    </row>
    <row r="13" customFormat="false" ht="15" hidden="false" customHeight="false" outlineLevel="0" collapsed="false">
      <c r="A13" s="8" t="s">
        <v>32</v>
      </c>
      <c r="B13" s="9" t="s">
        <v>545</v>
      </c>
      <c r="C13" s="8" t="s">
        <v>546</v>
      </c>
      <c r="D13" s="32" t="n">
        <f aca="false">MAX($D$12,1000)</f>
        <v>2252.16</v>
      </c>
      <c r="E13" s="8" t="s">
        <v>459</v>
      </c>
      <c r="F13" s="11" t="s">
        <v>547</v>
      </c>
    </row>
    <row r="15" customFormat="false" ht="15" hidden="false" customHeight="false" outlineLevel="0" collapsed="false">
      <c r="A15" s="6" t="s">
        <v>548</v>
      </c>
      <c r="B15" s="6"/>
      <c r="C15" s="6"/>
      <c r="D15" s="6"/>
      <c r="E15" s="6"/>
      <c r="F15" s="6"/>
    </row>
    <row r="16" customFormat="false" ht="15" hidden="false" customHeight="false" outlineLevel="0" collapsed="false">
      <c r="A16" s="7" t="s">
        <v>6</v>
      </c>
      <c r="B16" s="7" t="s">
        <v>7</v>
      </c>
      <c r="C16" s="7" t="s">
        <v>8</v>
      </c>
      <c r="D16" s="7" t="s">
        <v>9</v>
      </c>
      <c r="E16" s="7" t="s">
        <v>10</v>
      </c>
      <c r="F16" s="7" t="s">
        <v>11</v>
      </c>
    </row>
    <row r="17" customFormat="false" ht="15" hidden="false" customHeight="false" outlineLevel="0" collapsed="false">
      <c r="A17" s="8" t="s">
        <v>48</v>
      </c>
      <c r="B17" s="9" t="s">
        <v>549</v>
      </c>
      <c r="C17" s="8" t="s">
        <v>550</v>
      </c>
      <c r="D17" s="26" t="n">
        <v>1.2</v>
      </c>
      <c r="E17" s="8" t="s">
        <v>368</v>
      </c>
      <c r="F17" s="11" t="s">
        <v>551</v>
      </c>
    </row>
    <row r="18" customFormat="false" ht="15" hidden="false" customHeight="false" outlineLevel="0" collapsed="false">
      <c r="A18" s="8" t="s">
        <v>52</v>
      </c>
      <c r="B18" s="9" t="s">
        <v>552</v>
      </c>
      <c r="C18" s="8" t="s">
        <v>553</v>
      </c>
      <c r="D18" s="28" t="n">
        <f aca="false">$D$13/1000/$D$17</f>
        <v>1.8768</v>
      </c>
      <c r="E18" s="8" t="s">
        <v>79</v>
      </c>
      <c r="F18" s="11"/>
    </row>
    <row r="19" customFormat="false" ht="15" hidden="false" customHeight="false" outlineLevel="0" collapsed="false">
      <c r="A19" s="8" t="s">
        <v>55</v>
      </c>
      <c r="B19" s="9" t="s">
        <v>511</v>
      </c>
      <c r="C19" s="8" t="s">
        <v>467</v>
      </c>
      <c r="D19" s="26" t="n">
        <v>1.2</v>
      </c>
      <c r="E19" s="8" t="s">
        <v>368</v>
      </c>
      <c r="F19" s="11"/>
    </row>
    <row r="20" customFormat="false" ht="15" hidden="false" customHeight="false" outlineLevel="0" collapsed="false">
      <c r="A20" s="8" t="s">
        <v>58</v>
      </c>
      <c r="B20" s="9" t="s">
        <v>516</v>
      </c>
      <c r="C20" s="8" t="s">
        <v>459</v>
      </c>
      <c r="D20" s="26" t="n">
        <v>1.6</v>
      </c>
      <c r="E20" s="8" t="s">
        <v>368</v>
      </c>
      <c r="F20" s="11"/>
    </row>
    <row r="21" customFormat="false" ht="15" hidden="false" customHeight="false" outlineLevel="0" collapsed="false">
      <c r="A21" s="8" t="s">
        <v>61</v>
      </c>
      <c r="B21" s="9" t="s">
        <v>554</v>
      </c>
      <c r="C21" s="8" t="s">
        <v>78</v>
      </c>
      <c r="D21" s="28" t="n">
        <f aca="false">$D$19*$D$20</f>
        <v>1.92</v>
      </c>
      <c r="E21" s="8" t="s">
        <v>79</v>
      </c>
      <c r="F21" s="11"/>
    </row>
    <row r="22" customFormat="false" ht="15" hidden="false" customHeight="false" outlineLevel="0" collapsed="false">
      <c r="A22" s="8" t="s">
        <v>64</v>
      </c>
      <c r="B22" s="9" t="s">
        <v>555</v>
      </c>
      <c r="C22" s="8" t="s">
        <v>159</v>
      </c>
      <c r="D22" s="18" t="str">
        <f aca="false">IF($D$21&gt;=$D$18,"CUMPLE","NO CUMPLE")</f>
        <v>CUMPLE</v>
      </c>
      <c r="E22" s="8"/>
      <c r="F22" s="11"/>
    </row>
    <row r="23" customFormat="false" ht="15" hidden="false" customHeight="false" outlineLevel="0" collapsed="false">
      <c r="A23" s="8" t="s">
        <v>67</v>
      </c>
      <c r="B23" s="9" t="s">
        <v>556</v>
      </c>
      <c r="C23" s="8" t="s">
        <v>557</v>
      </c>
      <c r="D23" s="26" t="n">
        <v>0.3</v>
      </c>
      <c r="E23" s="8" t="s">
        <v>368</v>
      </c>
      <c r="F23" s="11" t="s">
        <v>558</v>
      </c>
    </row>
    <row r="24" customFormat="false" ht="15" hidden="false" customHeight="false" outlineLevel="0" collapsed="false">
      <c r="A24" s="8" t="s">
        <v>70</v>
      </c>
      <c r="B24" s="9" t="s">
        <v>559</v>
      </c>
      <c r="C24" s="8" t="s">
        <v>102</v>
      </c>
      <c r="D24" s="26" t="n">
        <v>0.3</v>
      </c>
      <c r="E24" s="8" t="s">
        <v>368</v>
      </c>
      <c r="F24" s="11"/>
    </row>
    <row r="25" customFormat="false" ht="15" hidden="false" customHeight="false" outlineLevel="0" collapsed="false">
      <c r="A25" s="8" t="s">
        <v>73</v>
      </c>
      <c r="B25" s="9" t="s">
        <v>531</v>
      </c>
      <c r="C25" s="8" t="s">
        <v>532</v>
      </c>
      <c r="D25" s="26" t="n">
        <v>0.3</v>
      </c>
      <c r="E25" s="8" t="s">
        <v>368</v>
      </c>
      <c r="F25" s="11"/>
    </row>
    <row r="26" customFormat="false" ht="15" hidden="false" customHeight="false" outlineLevel="0" collapsed="false">
      <c r="A26" s="8" t="s">
        <v>76</v>
      </c>
      <c r="B26" s="9" t="s">
        <v>560</v>
      </c>
      <c r="C26" s="8" t="s">
        <v>535</v>
      </c>
      <c r="D26" s="28" t="n">
        <f aca="false">$D$23+$D$17+$D$24+$D$25</f>
        <v>2.1</v>
      </c>
      <c r="E26" s="8" t="s">
        <v>368</v>
      </c>
      <c r="F26" s="11"/>
    </row>
    <row r="27" customFormat="false" ht="15" hidden="false" customHeight="false" outlineLevel="0" collapsed="false">
      <c r="A27" s="8" t="s">
        <v>80</v>
      </c>
      <c r="B27" s="9" t="s">
        <v>561</v>
      </c>
      <c r="C27" s="8" t="s">
        <v>562</v>
      </c>
      <c r="D27" s="28" t="n">
        <f aca="false">$D$8/1000/$D$21</f>
        <v>0.796875</v>
      </c>
      <c r="E27" s="8" t="s">
        <v>563</v>
      </c>
      <c r="F27" s="11"/>
    </row>
    <row r="28" customFormat="false" ht="25.5" hidden="false" customHeight="true" outlineLevel="0" collapsed="false">
      <c r="B28" s="4" t="s">
        <v>564</v>
      </c>
      <c r="C28" s="4"/>
      <c r="D28" s="4"/>
      <c r="E28" s="4"/>
      <c r="F28" s="4"/>
    </row>
    <row r="30" customFormat="false" ht="15" hidden="false" customHeight="false" outlineLevel="0" collapsed="false">
      <c r="A30" s="6" t="s">
        <v>565</v>
      </c>
      <c r="B30" s="6"/>
      <c r="C30" s="6"/>
      <c r="D30" s="6"/>
      <c r="E30" s="6"/>
      <c r="F30" s="6"/>
    </row>
    <row r="31" customFormat="false" ht="15" hidden="false" customHeight="false" outlineLevel="0" collapsed="false">
      <c r="A31" s="7" t="s">
        <v>6</v>
      </c>
      <c r="B31" s="7" t="s">
        <v>7</v>
      </c>
      <c r="C31" s="7" t="s">
        <v>8</v>
      </c>
      <c r="D31" s="7" t="s">
        <v>9</v>
      </c>
      <c r="E31" s="7" t="s">
        <v>10</v>
      </c>
      <c r="F31" s="7" t="s">
        <v>11</v>
      </c>
    </row>
    <row r="32" customFormat="false" ht="15" hidden="false" customHeight="false" outlineLevel="0" collapsed="false">
      <c r="A32" s="8" t="s">
        <v>131</v>
      </c>
      <c r="B32" s="9" t="s">
        <v>566</v>
      </c>
      <c r="C32" s="8" t="s">
        <v>567</v>
      </c>
      <c r="D32" s="46" t="n">
        <v>0.35</v>
      </c>
      <c r="E32" s="8" t="s">
        <v>163</v>
      </c>
      <c r="F32" s="11" t="s">
        <v>568</v>
      </c>
    </row>
    <row r="33" customFormat="false" ht="15" hidden="false" customHeight="false" outlineLevel="0" collapsed="false">
      <c r="A33" s="8" t="s">
        <v>135</v>
      </c>
      <c r="B33" s="9" t="s">
        <v>569</v>
      </c>
      <c r="C33" s="8" t="s">
        <v>567</v>
      </c>
      <c r="D33" s="46" t="n">
        <v>0.6</v>
      </c>
      <c r="E33" s="8" t="s">
        <v>163</v>
      </c>
      <c r="F33" s="11" t="s">
        <v>570</v>
      </c>
    </row>
    <row r="34" customFormat="false" ht="15" hidden="false" customHeight="false" outlineLevel="0" collapsed="false">
      <c r="A34" s="8" t="s">
        <v>139</v>
      </c>
      <c r="B34" s="9" t="s">
        <v>571</v>
      </c>
      <c r="C34" s="8" t="s">
        <v>572</v>
      </c>
      <c r="D34" s="46" t="n">
        <v>0.7</v>
      </c>
      <c r="E34" s="8" t="s">
        <v>163</v>
      </c>
      <c r="F34" s="11" t="s">
        <v>573</v>
      </c>
    </row>
    <row r="35" customFormat="false" ht="15" hidden="false" customHeight="false" outlineLevel="0" collapsed="false">
      <c r="A35" s="8" t="s">
        <v>229</v>
      </c>
      <c r="B35" s="9" t="s">
        <v>574</v>
      </c>
      <c r="C35" s="8" t="s">
        <v>572</v>
      </c>
      <c r="D35" s="46" t="n">
        <v>0.7</v>
      </c>
      <c r="E35" s="8" t="s">
        <v>163</v>
      </c>
      <c r="F35" s="11" t="s">
        <v>575</v>
      </c>
    </row>
    <row r="36" customFormat="false" ht="15" hidden="false" customHeight="false" outlineLevel="0" collapsed="false">
      <c r="A36" s="8" t="s">
        <v>232</v>
      </c>
      <c r="B36" s="9" t="s">
        <v>576</v>
      </c>
      <c r="C36" s="8" t="s">
        <v>577</v>
      </c>
      <c r="D36" s="47" t="n">
        <f aca="false">1-(1-$D$32)*(1-$D$34)</f>
        <v>0.805</v>
      </c>
      <c r="E36" s="8" t="s">
        <v>163</v>
      </c>
      <c r="F36" s="11"/>
    </row>
    <row r="37" customFormat="false" ht="15" hidden="false" customHeight="false" outlineLevel="0" collapsed="false">
      <c r="A37" s="8" t="s">
        <v>236</v>
      </c>
      <c r="B37" s="9" t="s">
        <v>578</v>
      </c>
      <c r="C37" s="8" t="s">
        <v>577</v>
      </c>
      <c r="D37" s="47" t="n">
        <f aca="false">1-(1-$D$33)*(1-$D$35)</f>
        <v>0.88</v>
      </c>
      <c r="E37" s="8" t="s">
        <v>163</v>
      </c>
      <c r="F37" s="11"/>
    </row>
    <row r="38" customFormat="false" ht="15" hidden="false" customHeight="false" outlineLevel="0" collapsed="false">
      <c r="A38" s="8" t="s">
        <v>239</v>
      </c>
      <c r="B38" s="9" t="s">
        <v>579</v>
      </c>
      <c r="C38" s="8" t="s">
        <v>580</v>
      </c>
      <c r="D38" s="15" t="n">
        <f aca="false">Caudales_AR!$D$40*(1-$D$36)</f>
        <v>75.1960784313726</v>
      </c>
      <c r="E38" s="8" t="s">
        <v>268</v>
      </c>
      <c r="F38" s="11" t="s">
        <v>581</v>
      </c>
    </row>
    <row r="39" customFormat="false" ht="15" hidden="false" customHeight="false" outlineLevel="0" collapsed="false">
      <c r="A39" s="8" t="s">
        <v>243</v>
      </c>
      <c r="B39" s="9" t="s">
        <v>582</v>
      </c>
      <c r="C39" s="8" t="s">
        <v>583</v>
      </c>
      <c r="D39" s="15" t="n">
        <f aca="false">Caudales_AR!$D$41*(1-$D$37)</f>
        <v>46.2745098039216</v>
      </c>
      <c r="E39" s="8" t="s">
        <v>268</v>
      </c>
      <c r="F39" s="11"/>
    </row>
    <row r="40" customFormat="false" ht="25.5" hidden="false" customHeight="true" outlineLevel="0" collapsed="false">
      <c r="B40" s="5" t="s">
        <v>584</v>
      </c>
      <c r="C40" s="5"/>
      <c r="D40" s="5"/>
      <c r="E40" s="5"/>
      <c r="F40" s="5"/>
    </row>
  </sheetData>
  <mergeCells count="8">
    <mergeCell ref="A1:F1"/>
    <mergeCell ref="A2:F2"/>
    <mergeCell ref="A3:F3"/>
    <mergeCell ref="A6:F6"/>
    <mergeCell ref="A15:F15"/>
    <mergeCell ref="B28:F28"/>
    <mergeCell ref="A30:F30"/>
    <mergeCell ref="B40:F40"/>
  </mergeCells>
  <conditionalFormatting sqref="D22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585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2.75" hidden="false" customHeight="true" outlineLevel="0" collapsed="false">
      <c r="B5" s="5" t="s">
        <v>586</v>
      </c>
      <c r="C5" s="5"/>
      <c r="D5" s="5"/>
      <c r="E5" s="5"/>
      <c r="F5" s="5"/>
    </row>
    <row r="7" customFormat="false" ht="15" hidden="false" customHeight="false" outlineLevel="0" collapsed="false">
      <c r="A7" s="6" t="s">
        <v>587</v>
      </c>
      <c r="B7" s="6"/>
      <c r="C7" s="6"/>
      <c r="D7" s="6"/>
      <c r="E7" s="6"/>
      <c r="F7" s="6"/>
    </row>
    <row r="8" customFormat="false" ht="15" hidden="false" customHeight="fals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customFormat="false" ht="15" hidden="false" customHeight="false" outlineLevel="0" collapsed="false">
      <c r="A9" s="8" t="s">
        <v>12</v>
      </c>
      <c r="B9" s="9" t="s">
        <v>588</v>
      </c>
      <c r="C9" s="8" t="s">
        <v>589</v>
      </c>
      <c r="D9" s="44" t="n">
        <f aca="false">Caudales_AR!$D$27</f>
        <v>1530</v>
      </c>
      <c r="E9" s="8" t="s">
        <v>242</v>
      </c>
      <c r="F9" s="11" t="s">
        <v>485</v>
      </c>
    </row>
    <row r="10" customFormat="false" ht="15" hidden="false" customHeight="false" outlineLevel="0" collapsed="false">
      <c r="A10" s="8" t="s">
        <v>15</v>
      </c>
      <c r="B10" s="9" t="s">
        <v>590</v>
      </c>
      <c r="C10" s="8" t="s">
        <v>591</v>
      </c>
      <c r="D10" s="26" t="n">
        <v>4</v>
      </c>
      <c r="E10" s="8" t="s">
        <v>592</v>
      </c>
      <c r="F10" s="11" t="s">
        <v>593</v>
      </c>
    </row>
    <row r="11" customFormat="false" ht="15" hidden="false" customHeight="false" outlineLevel="0" collapsed="false">
      <c r="A11" s="8" t="s">
        <v>18</v>
      </c>
      <c r="B11" s="9" t="s">
        <v>594</v>
      </c>
      <c r="C11" s="8" t="s">
        <v>591</v>
      </c>
      <c r="D11" s="28" t="n">
        <f aca="false">$D$10*2.54</f>
        <v>10.16</v>
      </c>
      <c r="E11" s="8" t="s">
        <v>595</v>
      </c>
      <c r="F11" s="11"/>
    </row>
    <row r="12" customFormat="false" ht="15" hidden="false" customHeight="false" outlineLevel="0" collapsed="false">
      <c r="A12" s="8" t="s">
        <v>22</v>
      </c>
      <c r="B12" s="9" t="s">
        <v>596</v>
      </c>
      <c r="C12" s="8" t="s">
        <v>159</v>
      </c>
      <c r="D12" s="18" t="str">
        <f aca="false">IF(AND($D$11&gt;=1,$D$11&lt;=60),"CUMPLE","NO CUMPLE")</f>
        <v>CUMPLE</v>
      </c>
      <c r="E12" s="8"/>
      <c r="F12" s="11" t="s">
        <v>597</v>
      </c>
    </row>
    <row r="13" customFormat="false" ht="15" hidden="false" customHeight="false" outlineLevel="0" collapsed="false">
      <c r="A13" s="8" t="s">
        <v>27</v>
      </c>
      <c r="B13" s="9" t="s">
        <v>598</v>
      </c>
      <c r="C13" s="8" t="s">
        <v>449</v>
      </c>
      <c r="D13" s="21" t="n">
        <f aca="false">5/SQRT($D$11)*40.74</f>
        <v>63.9063737533215</v>
      </c>
      <c r="E13" s="8" t="s">
        <v>599</v>
      </c>
      <c r="F13" s="11" t="s">
        <v>600</v>
      </c>
    </row>
    <row r="14" customFormat="false" ht="15" hidden="false" customHeight="false" outlineLevel="0" collapsed="false">
      <c r="A14" s="8" t="s">
        <v>32</v>
      </c>
      <c r="B14" s="9" t="s">
        <v>601</v>
      </c>
      <c r="C14" s="8" t="s">
        <v>553</v>
      </c>
      <c r="D14" s="38" t="n">
        <f aca="false">$D$9/$D$13</f>
        <v>23.9412739315455</v>
      </c>
      <c r="E14" s="8" t="s">
        <v>79</v>
      </c>
      <c r="F14" s="11" t="s">
        <v>602</v>
      </c>
    </row>
    <row r="16" customFormat="false" ht="15" hidden="false" customHeight="false" outlineLevel="0" collapsed="false">
      <c r="A16" s="6" t="s">
        <v>603</v>
      </c>
      <c r="B16" s="6"/>
      <c r="C16" s="6"/>
      <c r="D16" s="6"/>
      <c r="E16" s="6"/>
      <c r="F16" s="6"/>
    </row>
    <row r="17" customFormat="false" ht="15" hidden="false" customHeight="false" outlineLevel="0" collapsed="false">
      <c r="A17" s="7" t="s">
        <v>6</v>
      </c>
      <c r="B17" s="7" t="s">
        <v>7</v>
      </c>
      <c r="C17" s="7" t="s">
        <v>8</v>
      </c>
      <c r="D17" s="7" t="s">
        <v>9</v>
      </c>
      <c r="E17" s="7" t="s">
        <v>10</v>
      </c>
      <c r="F17" s="7" t="s">
        <v>11</v>
      </c>
    </row>
    <row r="18" customFormat="false" ht="15" hidden="false" customHeight="false" outlineLevel="0" collapsed="false">
      <c r="A18" s="8" t="s">
        <v>48</v>
      </c>
      <c r="B18" s="9" t="s">
        <v>604</v>
      </c>
      <c r="C18" s="8" t="s">
        <v>325</v>
      </c>
      <c r="D18" s="26" t="n">
        <v>0.6</v>
      </c>
      <c r="E18" s="8" t="s">
        <v>368</v>
      </c>
      <c r="F18" s="11" t="s">
        <v>605</v>
      </c>
    </row>
    <row r="19" customFormat="false" ht="15" hidden="false" customHeight="false" outlineLevel="0" collapsed="false">
      <c r="A19" s="8" t="s">
        <v>52</v>
      </c>
      <c r="B19" s="9" t="s">
        <v>606</v>
      </c>
      <c r="C19" s="8" t="s">
        <v>159</v>
      </c>
      <c r="D19" s="18" t="str">
        <f aca="false">IF(AND($D$18&gt;=0.45,$D$18&lt;=0.9),"CUMPLE","NO CUMPLE")</f>
        <v>CUMPLE</v>
      </c>
      <c r="E19" s="8"/>
      <c r="F19" s="11" t="s">
        <v>607</v>
      </c>
    </row>
    <row r="20" customFormat="false" ht="15" hidden="false" customHeight="false" outlineLevel="0" collapsed="false">
      <c r="A20" s="8" t="s">
        <v>55</v>
      </c>
      <c r="B20" s="9" t="s">
        <v>608</v>
      </c>
      <c r="C20" s="8" t="s">
        <v>515</v>
      </c>
      <c r="D20" s="20" t="n">
        <f aca="false">$D$14/$D$18</f>
        <v>39.9021232192425</v>
      </c>
      <c r="E20" s="8" t="s">
        <v>368</v>
      </c>
      <c r="F20" s="11"/>
    </row>
    <row r="21" customFormat="false" ht="15" hidden="false" customHeight="false" outlineLevel="0" collapsed="false">
      <c r="A21" s="8" t="s">
        <v>58</v>
      </c>
      <c r="B21" s="9" t="s">
        <v>609</v>
      </c>
      <c r="C21" s="8" t="s">
        <v>610</v>
      </c>
      <c r="D21" s="13" t="n">
        <v>20</v>
      </c>
      <c r="E21" s="8" t="s">
        <v>368</v>
      </c>
      <c r="F21" s="11" t="s">
        <v>611</v>
      </c>
    </row>
    <row r="22" customFormat="false" ht="15" hidden="false" customHeight="false" outlineLevel="0" collapsed="false">
      <c r="A22" s="8" t="s">
        <v>61</v>
      </c>
      <c r="B22" s="9" t="s">
        <v>612</v>
      </c>
      <c r="C22" s="8" t="s">
        <v>159</v>
      </c>
      <c r="D22" s="18" t="str">
        <f aca="false">IF($D$21&lt;=30,"CUMPLE","NO CUMPLE")</f>
        <v>CUMPLE</v>
      </c>
      <c r="E22" s="8"/>
      <c r="F22" s="11" t="s">
        <v>607</v>
      </c>
    </row>
    <row r="23" customFormat="false" ht="15" hidden="false" customHeight="false" outlineLevel="0" collapsed="false">
      <c r="A23" s="8" t="s">
        <v>64</v>
      </c>
      <c r="B23" s="9" t="s">
        <v>613</v>
      </c>
      <c r="C23" s="8" t="s">
        <v>614</v>
      </c>
      <c r="D23" s="16" t="n">
        <f aca="false">ROUNDUP($D$20/$D$21,0)</f>
        <v>2</v>
      </c>
      <c r="E23" s="8" t="s">
        <v>51</v>
      </c>
      <c r="F23" s="11"/>
    </row>
    <row r="24" customFormat="false" ht="15" hidden="false" customHeight="false" outlineLevel="0" collapsed="false">
      <c r="A24" s="8" t="s">
        <v>67</v>
      </c>
      <c r="B24" s="9" t="s">
        <v>615</v>
      </c>
      <c r="C24" s="8" t="s">
        <v>616</v>
      </c>
      <c r="D24" s="21" t="n">
        <f aca="false">ROUNDUP($D$20/$D$23,0)</f>
        <v>20</v>
      </c>
      <c r="E24" s="8" t="s">
        <v>368</v>
      </c>
      <c r="F24" s="11"/>
    </row>
    <row r="25" customFormat="false" ht="15" hidden="false" customHeight="false" outlineLevel="0" collapsed="false">
      <c r="A25" s="8" t="s">
        <v>70</v>
      </c>
      <c r="B25" s="9" t="s">
        <v>617</v>
      </c>
      <c r="C25" s="8" t="s">
        <v>618</v>
      </c>
      <c r="D25" s="20" t="n">
        <f aca="false">$D$23*$D$24</f>
        <v>40</v>
      </c>
      <c r="E25" s="8" t="s">
        <v>368</v>
      </c>
      <c r="F25" s="11"/>
    </row>
    <row r="26" customFormat="false" ht="15" hidden="false" customHeight="false" outlineLevel="0" collapsed="false">
      <c r="A26" s="8" t="s">
        <v>73</v>
      </c>
      <c r="B26" s="9" t="s">
        <v>619</v>
      </c>
      <c r="C26" s="8" t="s">
        <v>159</v>
      </c>
      <c r="D26" s="18" t="str">
        <f aca="false">IF($D$25&gt;=$D$20,"CUMPLE","NO CUMPLE")</f>
        <v>CUMPLE</v>
      </c>
      <c r="E26" s="8"/>
      <c r="F26" s="11"/>
    </row>
    <row r="27" customFormat="false" ht="15" hidden="false" customHeight="false" outlineLevel="0" collapsed="false">
      <c r="A27" s="8" t="s">
        <v>76</v>
      </c>
      <c r="B27" s="9" t="s">
        <v>620</v>
      </c>
      <c r="C27" s="8" t="s">
        <v>621</v>
      </c>
      <c r="D27" s="26" t="n">
        <v>2</v>
      </c>
      <c r="E27" s="8" t="s">
        <v>368</v>
      </c>
      <c r="F27" s="11" t="s">
        <v>622</v>
      </c>
    </row>
    <row r="28" customFormat="false" ht="15" hidden="false" customHeight="false" outlineLevel="0" collapsed="false">
      <c r="A28" s="8" t="s">
        <v>80</v>
      </c>
      <c r="B28" s="9" t="s">
        <v>623</v>
      </c>
      <c r="C28" s="8" t="s">
        <v>159</v>
      </c>
      <c r="D28" s="18" t="str">
        <f aca="false">IF($D$27&gt;=2,"CUMPLE","NO CUMPLE")</f>
        <v>CUMPLE</v>
      </c>
      <c r="E28" s="8"/>
      <c r="F28" s="11"/>
    </row>
    <row r="29" customFormat="false" ht="15" hidden="false" customHeight="false" outlineLevel="0" collapsed="false">
      <c r="A29" s="8" t="s">
        <v>83</v>
      </c>
      <c r="B29" s="9" t="s">
        <v>624</v>
      </c>
      <c r="C29" s="8" t="s">
        <v>625</v>
      </c>
      <c r="D29" s="26" t="n">
        <v>0.7</v>
      </c>
      <c r="E29" s="8" t="s">
        <v>368</v>
      </c>
      <c r="F29" s="11" t="s">
        <v>605</v>
      </c>
    </row>
    <row r="30" customFormat="false" ht="15" hidden="false" customHeight="false" outlineLevel="0" collapsed="false">
      <c r="A30" s="8" t="s">
        <v>626</v>
      </c>
      <c r="B30" s="9" t="s">
        <v>627</v>
      </c>
      <c r="C30" s="8" t="s">
        <v>159</v>
      </c>
      <c r="D30" s="18" t="str">
        <f aca="false">IF(AND($D$29&gt;=0.45,$D$29&lt;=0.9),"CUMPLE","NO CUMPLE")</f>
        <v>CUMPLE</v>
      </c>
      <c r="E30" s="8"/>
      <c r="F30" s="11"/>
    </row>
    <row r="31" customFormat="false" ht="15" hidden="false" customHeight="false" outlineLevel="0" collapsed="false">
      <c r="A31" s="8" t="s">
        <v>628</v>
      </c>
      <c r="B31" s="9" t="s">
        <v>629</v>
      </c>
      <c r="C31" s="8" t="s">
        <v>630</v>
      </c>
      <c r="D31" s="26" t="n">
        <v>2.5</v>
      </c>
      <c r="E31" s="8" t="s">
        <v>368</v>
      </c>
      <c r="F31" s="11" t="s">
        <v>631</v>
      </c>
    </row>
    <row r="32" customFormat="false" ht="15" hidden="false" customHeight="false" outlineLevel="0" collapsed="false">
      <c r="A32" s="8" t="s">
        <v>632</v>
      </c>
      <c r="B32" s="9" t="s">
        <v>633</v>
      </c>
      <c r="C32" s="8" t="s">
        <v>634</v>
      </c>
      <c r="D32" s="28" t="n">
        <f aca="false">$D$31-$D$29</f>
        <v>1.8</v>
      </c>
      <c r="E32" s="8" t="s">
        <v>368</v>
      </c>
      <c r="F32" s="11"/>
    </row>
    <row r="33" customFormat="false" ht="15" hidden="false" customHeight="false" outlineLevel="0" collapsed="false">
      <c r="A33" s="8" t="s">
        <v>635</v>
      </c>
      <c r="B33" s="9" t="s">
        <v>636</v>
      </c>
      <c r="C33" s="8" t="s">
        <v>159</v>
      </c>
      <c r="D33" s="18" t="str">
        <f aca="false">IF($D$32&gt;=1.2,"CUMPLE","NO CUMPLE")</f>
        <v>CUMPLE</v>
      </c>
      <c r="E33" s="8"/>
      <c r="F33" s="11" t="s">
        <v>607</v>
      </c>
    </row>
    <row r="34" customFormat="false" ht="15" hidden="false" customHeight="false" outlineLevel="0" collapsed="false">
      <c r="A34" s="8" t="s">
        <v>637</v>
      </c>
      <c r="B34" s="9" t="s">
        <v>638</v>
      </c>
      <c r="C34" s="8" t="s">
        <v>376</v>
      </c>
      <c r="D34" s="34" t="n">
        <v>0.003</v>
      </c>
      <c r="E34" s="8" t="s">
        <v>377</v>
      </c>
      <c r="F34" s="11" t="s">
        <v>639</v>
      </c>
    </row>
    <row r="35" customFormat="false" ht="15" hidden="false" customHeight="false" outlineLevel="0" collapsed="false">
      <c r="A35" s="8" t="s">
        <v>640</v>
      </c>
      <c r="B35" s="9" t="s">
        <v>641</v>
      </c>
      <c r="C35" s="8" t="s">
        <v>159</v>
      </c>
      <c r="D35" s="18" t="str">
        <f aca="false">IF(AND($D$34&gt;=0.002,$D$34&lt;=0.005),"CUMPLE","NO CUMPLE")</f>
        <v>CUMPLE</v>
      </c>
      <c r="E35" s="8"/>
      <c r="F35" s="11"/>
    </row>
    <row r="37" customFormat="false" ht="15" hidden="false" customHeight="false" outlineLevel="0" collapsed="false">
      <c r="A37" s="6" t="s">
        <v>642</v>
      </c>
      <c r="B37" s="6"/>
      <c r="C37" s="6"/>
      <c r="D37" s="6"/>
      <c r="E37" s="6"/>
      <c r="F37" s="6"/>
    </row>
    <row r="38" customFormat="false" ht="15" hidden="false" customHeight="false" outlineLevel="0" collapsed="false">
      <c r="A38" s="7" t="s">
        <v>6</v>
      </c>
      <c r="B38" s="7" t="s">
        <v>7</v>
      </c>
      <c r="C38" s="7" t="s">
        <v>8</v>
      </c>
      <c r="D38" s="7" t="s">
        <v>9</v>
      </c>
      <c r="E38" s="7" t="s">
        <v>10</v>
      </c>
      <c r="F38" s="7" t="s">
        <v>11</v>
      </c>
    </row>
    <row r="39" customFormat="false" ht="23.85" hidden="false" customHeight="false" outlineLevel="0" collapsed="false">
      <c r="A39" s="8" t="s">
        <v>131</v>
      </c>
      <c r="B39" s="9" t="s">
        <v>643</v>
      </c>
      <c r="C39" s="8" t="s">
        <v>329</v>
      </c>
      <c r="D39" s="13" t="n">
        <v>40</v>
      </c>
      <c r="E39" s="8" t="s">
        <v>368</v>
      </c>
      <c r="F39" s="11" t="s">
        <v>644</v>
      </c>
    </row>
    <row r="40" customFormat="false" ht="23.85" hidden="false" customHeight="false" outlineLevel="0" collapsed="false">
      <c r="A40" s="8" t="s">
        <v>135</v>
      </c>
      <c r="B40" s="9" t="s">
        <v>645</v>
      </c>
      <c r="C40" s="8" t="s">
        <v>147</v>
      </c>
      <c r="D40" s="13" t="n">
        <v>30</v>
      </c>
      <c r="E40" s="8" t="s">
        <v>368</v>
      </c>
      <c r="F40" s="11" t="s">
        <v>646</v>
      </c>
    </row>
    <row r="41" customFormat="false" ht="23.85" hidden="false" customHeight="false" outlineLevel="0" collapsed="false">
      <c r="A41" s="8" t="s">
        <v>139</v>
      </c>
      <c r="B41" s="9" t="s">
        <v>647</v>
      </c>
      <c r="C41" s="8" t="s">
        <v>159</v>
      </c>
      <c r="D41" s="18" t="str">
        <f aca="false">IF($D$39&gt;=$D$40,"CUMPLE","NO CUMPLE")</f>
        <v>CUMPLE</v>
      </c>
      <c r="E41" s="8"/>
      <c r="F41" s="11" t="s">
        <v>646</v>
      </c>
    </row>
    <row r="42" customFormat="false" ht="23.85" hidden="false" customHeight="false" outlineLevel="0" collapsed="false">
      <c r="A42" s="8" t="s">
        <v>229</v>
      </c>
      <c r="B42" s="9" t="s">
        <v>648</v>
      </c>
      <c r="C42" s="8" t="s">
        <v>329</v>
      </c>
      <c r="D42" s="13" t="n">
        <v>35</v>
      </c>
      <c r="E42" s="8" t="s">
        <v>368</v>
      </c>
      <c r="F42" s="11" t="s">
        <v>644</v>
      </c>
    </row>
    <row r="43" customFormat="false" ht="15" hidden="false" customHeight="false" outlineLevel="0" collapsed="false">
      <c r="A43" s="8" t="s">
        <v>232</v>
      </c>
      <c r="B43" s="9" t="s">
        <v>649</v>
      </c>
      <c r="C43" s="8" t="s">
        <v>147</v>
      </c>
      <c r="D43" s="13" t="n">
        <v>30</v>
      </c>
      <c r="E43" s="8" t="s">
        <v>368</v>
      </c>
      <c r="F43" s="11" t="s">
        <v>650</v>
      </c>
    </row>
    <row r="44" customFormat="false" ht="15" hidden="false" customHeight="false" outlineLevel="0" collapsed="false">
      <c r="A44" s="8" t="s">
        <v>236</v>
      </c>
      <c r="B44" s="9" t="s">
        <v>651</v>
      </c>
      <c r="C44" s="8" t="s">
        <v>159</v>
      </c>
      <c r="D44" s="18" t="str">
        <f aca="false">IF($D$42&gt;=$D$43,"CUMPLE","NO CUMPLE")</f>
        <v>CUMPLE</v>
      </c>
      <c r="E44" s="8"/>
      <c r="F44" s="11" t="s">
        <v>650</v>
      </c>
    </row>
    <row r="45" customFormat="false" ht="15" hidden="false" customHeight="false" outlineLevel="0" collapsed="false">
      <c r="A45" s="8" t="s">
        <v>239</v>
      </c>
      <c r="B45" s="9" t="s">
        <v>652</v>
      </c>
      <c r="C45" s="8" t="s">
        <v>329</v>
      </c>
      <c r="D45" s="13" t="n">
        <v>6</v>
      </c>
      <c r="E45" s="8" t="s">
        <v>368</v>
      </c>
      <c r="F45" s="11" t="s">
        <v>644</v>
      </c>
    </row>
    <row r="46" customFormat="false" ht="15" hidden="false" customHeight="false" outlineLevel="0" collapsed="false">
      <c r="A46" s="8" t="s">
        <v>243</v>
      </c>
      <c r="B46" s="9" t="s">
        <v>653</v>
      </c>
      <c r="C46" s="8" t="s">
        <v>147</v>
      </c>
      <c r="D46" s="13" t="n">
        <v>5</v>
      </c>
      <c r="E46" s="8" t="s">
        <v>368</v>
      </c>
      <c r="F46" s="11" t="s">
        <v>654</v>
      </c>
    </row>
    <row r="47" customFormat="false" ht="15" hidden="false" customHeight="false" outlineLevel="0" collapsed="false">
      <c r="A47" s="8" t="s">
        <v>246</v>
      </c>
      <c r="B47" s="9" t="s">
        <v>655</v>
      </c>
      <c r="C47" s="8" t="s">
        <v>159</v>
      </c>
      <c r="D47" s="18" t="str">
        <f aca="false">IF($D$45&gt;=$D$46,"CUMPLE","NO CUMPLE")</f>
        <v>CUMPLE</v>
      </c>
      <c r="E47" s="8"/>
      <c r="F47" s="11" t="s">
        <v>654</v>
      </c>
    </row>
    <row r="48" customFormat="false" ht="15" hidden="false" customHeight="false" outlineLevel="0" collapsed="false">
      <c r="A48" s="8" t="s">
        <v>250</v>
      </c>
      <c r="B48" s="9" t="s">
        <v>656</v>
      </c>
      <c r="C48" s="8" t="s">
        <v>329</v>
      </c>
      <c r="D48" s="13" t="n">
        <v>2</v>
      </c>
      <c r="E48" s="8" t="s">
        <v>368</v>
      </c>
      <c r="F48" s="11" t="s">
        <v>644</v>
      </c>
    </row>
    <row r="49" customFormat="false" ht="15" hidden="false" customHeight="false" outlineLevel="0" collapsed="false">
      <c r="A49" s="8" t="s">
        <v>385</v>
      </c>
      <c r="B49" s="9" t="s">
        <v>657</v>
      </c>
      <c r="C49" s="8" t="s">
        <v>147</v>
      </c>
      <c r="D49" s="13" t="n">
        <v>1.5</v>
      </c>
      <c r="E49" s="8" t="s">
        <v>368</v>
      </c>
      <c r="F49" s="11" t="s">
        <v>658</v>
      </c>
    </row>
    <row r="50" customFormat="false" ht="15" hidden="false" customHeight="false" outlineLevel="0" collapsed="false">
      <c r="A50" s="8" t="s">
        <v>522</v>
      </c>
      <c r="B50" s="9" t="s">
        <v>659</v>
      </c>
      <c r="C50" s="8" t="s">
        <v>159</v>
      </c>
      <c r="D50" s="18" t="str">
        <f aca="false">IF($D$48&gt;=$D$49,"CUMPLE","NO CUMPLE")</f>
        <v>CUMPLE</v>
      </c>
      <c r="E50" s="8"/>
      <c r="F50" s="11" t="s">
        <v>658</v>
      </c>
    </row>
    <row r="51" customFormat="false" ht="15" hidden="false" customHeight="false" outlineLevel="0" collapsed="false">
      <c r="A51" s="8" t="s">
        <v>524</v>
      </c>
      <c r="B51" s="9" t="s">
        <v>660</v>
      </c>
      <c r="C51" s="8" t="s">
        <v>329</v>
      </c>
      <c r="D51" s="13" t="n">
        <v>4</v>
      </c>
      <c r="E51" s="8" t="s">
        <v>368</v>
      </c>
      <c r="F51" s="11" t="s">
        <v>644</v>
      </c>
    </row>
    <row r="52" customFormat="false" ht="15" hidden="false" customHeight="false" outlineLevel="0" collapsed="false">
      <c r="A52" s="8" t="s">
        <v>527</v>
      </c>
      <c r="B52" s="9" t="s">
        <v>661</v>
      </c>
      <c r="C52" s="8" t="s">
        <v>147</v>
      </c>
      <c r="D52" s="13" t="n">
        <v>3</v>
      </c>
      <c r="E52" s="8" t="s">
        <v>368</v>
      </c>
      <c r="F52" s="11" t="s">
        <v>654</v>
      </c>
    </row>
    <row r="53" customFormat="false" ht="15" hidden="false" customHeight="false" outlineLevel="0" collapsed="false">
      <c r="A53" s="8" t="s">
        <v>530</v>
      </c>
      <c r="B53" s="9" t="s">
        <v>662</v>
      </c>
      <c r="C53" s="8" t="s">
        <v>159</v>
      </c>
      <c r="D53" s="18" t="str">
        <f aca="false">IF($D$51&gt;=$D$52,"CUMPLE","NO CUMPLE")</f>
        <v>CUMPLE</v>
      </c>
      <c r="E53" s="8"/>
      <c r="F53" s="11" t="s">
        <v>654</v>
      </c>
    </row>
    <row r="54" customFormat="false" ht="15" hidden="false" customHeight="false" outlineLevel="0" collapsed="false">
      <c r="A54" s="8" t="s">
        <v>533</v>
      </c>
      <c r="B54" s="9" t="s">
        <v>663</v>
      </c>
      <c r="C54" s="8" t="s">
        <v>329</v>
      </c>
      <c r="D54" s="13" t="n">
        <v>4</v>
      </c>
      <c r="E54" s="8" t="s">
        <v>368</v>
      </c>
      <c r="F54" s="11" t="s">
        <v>644</v>
      </c>
    </row>
    <row r="55" customFormat="false" ht="15" hidden="false" customHeight="false" outlineLevel="0" collapsed="false">
      <c r="A55" s="8" t="s">
        <v>664</v>
      </c>
      <c r="B55" s="9" t="s">
        <v>665</v>
      </c>
      <c r="C55" s="8" t="s">
        <v>147</v>
      </c>
      <c r="D55" s="13" t="n">
        <v>3</v>
      </c>
      <c r="E55" s="8" t="s">
        <v>368</v>
      </c>
      <c r="F55" s="11" t="s">
        <v>654</v>
      </c>
    </row>
    <row r="56" customFormat="false" ht="15" hidden="false" customHeight="false" outlineLevel="0" collapsed="false">
      <c r="A56" s="8" t="s">
        <v>666</v>
      </c>
      <c r="B56" s="9" t="s">
        <v>667</v>
      </c>
      <c r="C56" s="8" t="s">
        <v>159</v>
      </c>
      <c r="D56" s="18" t="str">
        <f aca="false">IF($D$54&gt;=$D$55,"CUMPLE","NO CUMPLE")</f>
        <v>CUMPLE</v>
      </c>
      <c r="E56" s="8"/>
      <c r="F56" s="11" t="s">
        <v>654</v>
      </c>
    </row>
  </sheetData>
  <mergeCells count="7">
    <mergeCell ref="A1:F1"/>
    <mergeCell ref="A2:F2"/>
    <mergeCell ref="A3:F3"/>
    <mergeCell ref="B5:F5"/>
    <mergeCell ref="A7:F7"/>
    <mergeCell ref="A16:F16"/>
    <mergeCell ref="A37:F37"/>
  </mergeCells>
  <conditionalFormatting sqref="D12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conditionalFormatting sqref="D19">
    <cfRule type="cellIs" priority="4" operator="equal" aboveAverage="0" equalAverage="0" bottom="0" percent="0" rank="0" text="" dxfId="0">
      <formula>"CUMPLE"</formula>
    </cfRule>
    <cfRule type="cellIs" priority="5" operator="equal" aboveAverage="0" equalAverage="0" bottom="0" percent="0" rank="0" text="" dxfId="1">
      <formula>"NO CUMPLE"</formula>
    </cfRule>
  </conditionalFormatting>
  <conditionalFormatting sqref="D22">
    <cfRule type="cellIs" priority="6" operator="equal" aboveAverage="0" equalAverage="0" bottom="0" percent="0" rank="0" text="" dxfId="0">
      <formula>"CUMPLE"</formula>
    </cfRule>
    <cfRule type="cellIs" priority="7" operator="equal" aboveAverage="0" equalAverage="0" bottom="0" percent="0" rank="0" text="" dxfId="1">
      <formula>"NO CUMPLE"</formula>
    </cfRule>
  </conditionalFormatting>
  <conditionalFormatting sqref="D26">
    <cfRule type="cellIs" priority="8" operator="equal" aboveAverage="0" equalAverage="0" bottom="0" percent="0" rank="0" text="" dxfId="0">
      <formula>"CUMPLE"</formula>
    </cfRule>
    <cfRule type="cellIs" priority="9" operator="equal" aboveAverage="0" equalAverage="0" bottom="0" percent="0" rank="0" text="" dxfId="1">
      <formula>"NO CUMPLE"</formula>
    </cfRule>
  </conditionalFormatting>
  <conditionalFormatting sqref="D28">
    <cfRule type="cellIs" priority="10" operator="equal" aboveAverage="0" equalAverage="0" bottom="0" percent="0" rank="0" text="" dxfId="0">
      <formula>"CUMPLE"</formula>
    </cfRule>
    <cfRule type="cellIs" priority="11" operator="equal" aboveAverage="0" equalAverage="0" bottom="0" percent="0" rank="0" text="" dxfId="1">
      <formula>"NO CUMPLE"</formula>
    </cfRule>
  </conditionalFormatting>
  <conditionalFormatting sqref="D30">
    <cfRule type="cellIs" priority="12" operator="equal" aboveAverage="0" equalAverage="0" bottom="0" percent="0" rank="0" text="" dxfId="0">
      <formula>"CUMPLE"</formula>
    </cfRule>
    <cfRule type="cellIs" priority="13" operator="equal" aboveAverage="0" equalAverage="0" bottom="0" percent="0" rank="0" text="" dxfId="1">
      <formula>"NO CUMPLE"</formula>
    </cfRule>
  </conditionalFormatting>
  <conditionalFormatting sqref="D33">
    <cfRule type="cellIs" priority="14" operator="equal" aboveAverage="0" equalAverage="0" bottom="0" percent="0" rank="0" text="" dxfId="0">
      <formula>"CUMPLE"</formula>
    </cfRule>
    <cfRule type="cellIs" priority="15" operator="equal" aboveAverage="0" equalAverage="0" bottom="0" percent="0" rank="0" text="" dxfId="1">
      <formula>"NO CUMPLE"</formula>
    </cfRule>
  </conditionalFormatting>
  <conditionalFormatting sqref="D35">
    <cfRule type="cellIs" priority="16" operator="equal" aboveAverage="0" equalAverage="0" bottom="0" percent="0" rank="0" text="" dxfId="0">
      <formula>"CUMPLE"</formula>
    </cfRule>
    <cfRule type="cellIs" priority="17" operator="equal" aboveAverage="0" equalAverage="0" bottom="0" percent="0" rank="0" text="" dxfId="1">
      <formula>"NO CUMPLE"</formula>
    </cfRule>
  </conditionalFormatting>
  <conditionalFormatting sqref="D41">
    <cfRule type="cellIs" priority="18" operator="equal" aboveAverage="0" equalAverage="0" bottom="0" percent="0" rank="0" text="" dxfId="0">
      <formula>"CUMPLE"</formula>
    </cfRule>
    <cfRule type="cellIs" priority="19" operator="equal" aboveAverage="0" equalAverage="0" bottom="0" percent="0" rank="0" text="" dxfId="1">
      <formula>"NO CUMPLE"</formula>
    </cfRule>
  </conditionalFormatting>
  <conditionalFormatting sqref="D44">
    <cfRule type="cellIs" priority="20" operator="equal" aboveAverage="0" equalAverage="0" bottom="0" percent="0" rank="0" text="" dxfId="0">
      <formula>"CUMPLE"</formula>
    </cfRule>
    <cfRule type="cellIs" priority="21" operator="equal" aboveAverage="0" equalAverage="0" bottom="0" percent="0" rank="0" text="" dxfId="1">
      <formula>"NO CUMPLE"</formula>
    </cfRule>
  </conditionalFormatting>
  <conditionalFormatting sqref="D47">
    <cfRule type="cellIs" priority="22" operator="equal" aboveAverage="0" equalAverage="0" bottom="0" percent="0" rank="0" text="" dxfId="0">
      <formula>"CUMPLE"</formula>
    </cfRule>
    <cfRule type="cellIs" priority="23" operator="equal" aboveAverage="0" equalAverage="0" bottom="0" percent="0" rank="0" text="" dxfId="1">
      <formula>"NO CUMPLE"</formula>
    </cfRule>
  </conditionalFormatting>
  <conditionalFormatting sqref="D50">
    <cfRule type="cellIs" priority="24" operator="equal" aboveAverage="0" equalAverage="0" bottom="0" percent="0" rank="0" text="" dxfId="0">
      <formula>"CUMPLE"</formula>
    </cfRule>
    <cfRule type="cellIs" priority="25" operator="equal" aboveAverage="0" equalAverage="0" bottom="0" percent="0" rank="0" text="" dxfId="1">
      <formula>"NO CUMPLE"</formula>
    </cfRule>
  </conditionalFormatting>
  <conditionalFormatting sqref="D53">
    <cfRule type="cellIs" priority="26" operator="equal" aboveAverage="0" equalAverage="0" bottom="0" percent="0" rank="0" text="" dxfId="0">
      <formula>"CUMPLE"</formula>
    </cfRule>
    <cfRule type="cellIs" priority="27" operator="equal" aboveAverage="0" equalAverage="0" bottom="0" percent="0" rank="0" text="" dxfId="1">
      <formula>"NO CUMPLE"</formula>
    </cfRule>
  </conditionalFormatting>
  <conditionalFormatting sqref="D56">
    <cfRule type="cellIs" priority="28" operator="equal" aboveAverage="0" equalAverage="0" bottom="0" percent="0" rank="0" text="" dxfId="0">
      <formula>"CUMPLE"</formula>
    </cfRule>
    <cfRule type="cellIs" priority="29" operator="equal" aboveAverage="0" equalAverage="0" bottom="0" percent="0" rank="0" text="" dxfId="1">
      <formula>"NO CUMPLE"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668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6" customFormat="false" ht="15" hidden="false" customHeight="false" outlineLevel="0" collapsed="false">
      <c r="A6" s="6" t="s">
        <v>669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customFormat="false" ht="15" hidden="false" customHeight="false" outlineLevel="0" collapsed="false">
      <c r="A8" s="8" t="s">
        <v>12</v>
      </c>
      <c r="B8" s="9" t="s">
        <v>670</v>
      </c>
      <c r="C8" s="8"/>
      <c r="D8" s="48" t="str">
        <f aca="false">Poblacion!$D$26</f>
        <v>BAJO</v>
      </c>
      <c r="E8" s="8"/>
      <c r="F8" s="11"/>
    </row>
    <row r="9" customFormat="false" ht="15" hidden="false" customHeight="false" outlineLevel="0" collapsed="false">
      <c r="A9" s="8" t="s">
        <v>15</v>
      </c>
      <c r="B9" s="9" t="s">
        <v>671</v>
      </c>
      <c r="C9" s="8"/>
      <c r="D9" s="31" t="n">
        <f aca="false">Poblacion!$D$19</f>
        <v>11</v>
      </c>
      <c r="E9" s="8" t="s">
        <v>106</v>
      </c>
      <c r="F9" s="11"/>
    </row>
    <row r="10" customFormat="false" ht="15" hidden="false" customHeight="false" outlineLevel="0" collapsed="false">
      <c r="A10" s="8" t="s">
        <v>18</v>
      </c>
      <c r="B10" s="9" t="s">
        <v>125</v>
      </c>
      <c r="C10" s="8"/>
      <c r="D10" s="31" t="n">
        <f aca="false">Poblacion!$D$20</f>
        <v>2</v>
      </c>
      <c r="E10" s="8" t="s">
        <v>110</v>
      </c>
      <c r="F10" s="11"/>
    </row>
    <row r="11" customFormat="false" ht="15" hidden="false" customHeight="false" outlineLevel="0" collapsed="false">
      <c r="A11" s="8" t="s">
        <v>22</v>
      </c>
      <c r="B11" s="9" t="s">
        <v>672</v>
      </c>
      <c r="C11" s="8"/>
      <c r="D11" s="31" t="n">
        <f aca="false">Poblacion!$D$21</f>
        <v>13</v>
      </c>
      <c r="E11" s="8" t="s">
        <v>106</v>
      </c>
      <c r="F11" s="11"/>
    </row>
    <row r="12" customFormat="false" ht="15" hidden="false" customHeight="false" outlineLevel="0" collapsed="false">
      <c r="A12" s="8" t="s">
        <v>27</v>
      </c>
      <c r="B12" s="9" t="s">
        <v>673</v>
      </c>
      <c r="C12" s="8"/>
      <c r="D12" s="49" t="n">
        <f aca="false">Poblacion!$D$38</f>
        <v>130</v>
      </c>
      <c r="E12" s="8" t="s">
        <v>148</v>
      </c>
      <c r="F12" s="11"/>
    </row>
    <row r="13" customFormat="false" ht="15" hidden="false" customHeight="false" outlineLevel="0" collapsed="false">
      <c r="A13" s="8" t="s">
        <v>32</v>
      </c>
      <c r="B13" s="9" t="s">
        <v>674</v>
      </c>
      <c r="C13" s="8"/>
      <c r="D13" s="44" t="n">
        <f aca="false">Poblacion!$E$47</f>
        <v>1530</v>
      </c>
      <c r="E13" s="8" t="s">
        <v>242</v>
      </c>
      <c r="F13" s="11"/>
    </row>
    <row r="14" customFormat="false" ht="15" hidden="false" customHeight="false" outlineLevel="0" collapsed="false">
      <c r="A14" s="8" t="s">
        <v>36</v>
      </c>
      <c r="B14" s="9" t="s">
        <v>675</v>
      </c>
      <c r="C14" s="8"/>
      <c r="D14" s="50" t="n">
        <f aca="false">Caudales_AR!$D$12</f>
        <v>0.0150520833333333</v>
      </c>
      <c r="E14" s="8" t="s">
        <v>204</v>
      </c>
      <c r="F14" s="11"/>
    </row>
    <row r="15" customFormat="false" ht="15" hidden="false" customHeight="false" outlineLevel="0" collapsed="false">
      <c r="A15" s="8" t="s">
        <v>40</v>
      </c>
      <c r="B15" s="9" t="s">
        <v>676</v>
      </c>
      <c r="C15" s="8"/>
      <c r="D15" s="44" t="n">
        <f aca="false">Caudales_AR!$D$27</f>
        <v>1530</v>
      </c>
      <c r="E15" s="8" t="s">
        <v>242</v>
      </c>
      <c r="F15" s="11"/>
    </row>
    <row r="16" customFormat="false" ht="15" hidden="false" customHeight="false" outlineLevel="0" collapsed="false">
      <c r="A16" s="8" t="s">
        <v>44</v>
      </c>
      <c r="B16" s="9" t="s">
        <v>677</v>
      </c>
      <c r="C16" s="8"/>
      <c r="D16" s="31" t="n">
        <f aca="false">UD_Desagues!$D$18</f>
        <v>34</v>
      </c>
      <c r="E16" s="8" t="s">
        <v>678</v>
      </c>
      <c r="F16" s="11"/>
    </row>
    <row r="17" customFormat="false" ht="15" hidden="false" customHeight="false" outlineLevel="0" collapsed="false">
      <c r="A17" s="8" t="s">
        <v>346</v>
      </c>
      <c r="B17" s="9" t="s">
        <v>679</v>
      </c>
      <c r="C17" s="8"/>
      <c r="D17" s="49" t="n">
        <f aca="false">Aguas_Lluvias!$D$18</f>
        <v>167.112342686592</v>
      </c>
      <c r="E17" s="8" t="s">
        <v>342</v>
      </c>
      <c r="F17" s="11"/>
    </row>
    <row r="18" customFormat="false" ht="15" hidden="false" customHeight="false" outlineLevel="0" collapsed="false">
      <c r="A18" s="8" t="s">
        <v>680</v>
      </c>
      <c r="B18" s="9" t="s">
        <v>360</v>
      </c>
      <c r="C18" s="8"/>
      <c r="D18" s="45" t="n">
        <f aca="false">Aguas_Lluvias!$D$26</f>
        <v>9.51611951409761</v>
      </c>
      <c r="E18" s="8" t="s">
        <v>204</v>
      </c>
      <c r="F18" s="11"/>
    </row>
    <row r="19" customFormat="false" ht="15" hidden="false" customHeight="false" outlineLevel="0" collapsed="false">
      <c r="A19" s="8" t="s">
        <v>681</v>
      </c>
      <c r="B19" s="9" t="s">
        <v>682</v>
      </c>
      <c r="C19" s="8"/>
      <c r="D19" s="31" t="n">
        <f aca="false">Trampa_Grasas!$D$17</f>
        <v>150</v>
      </c>
      <c r="E19" s="8" t="s">
        <v>459</v>
      </c>
      <c r="F19" s="11"/>
    </row>
    <row r="20" customFormat="false" ht="15" hidden="false" customHeight="false" outlineLevel="0" collapsed="false">
      <c r="A20" s="8" t="s">
        <v>683</v>
      </c>
      <c r="B20" s="9" t="s">
        <v>684</v>
      </c>
      <c r="C20" s="8"/>
      <c r="D20" s="45" t="n">
        <f aca="false">Tanque_Septico!$D$19</f>
        <v>3.6046</v>
      </c>
      <c r="E20" s="8" t="s">
        <v>503</v>
      </c>
      <c r="F20" s="11"/>
    </row>
    <row r="21" customFormat="false" ht="15" hidden="false" customHeight="false" outlineLevel="0" collapsed="false">
      <c r="A21" s="8" t="s">
        <v>685</v>
      </c>
      <c r="B21" s="9" t="s">
        <v>686</v>
      </c>
      <c r="C21" s="8"/>
      <c r="D21" s="45" t="n">
        <f aca="false">Tanque_Septico!$D$30</f>
        <v>2.3</v>
      </c>
      <c r="E21" s="8" t="s">
        <v>368</v>
      </c>
      <c r="F21" s="11"/>
    </row>
    <row r="22" customFormat="false" ht="15" hidden="false" customHeight="false" outlineLevel="0" collapsed="false">
      <c r="A22" s="8" t="s">
        <v>687</v>
      </c>
      <c r="B22" s="9" t="s">
        <v>688</v>
      </c>
      <c r="C22" s="8"/>
      <c r="D22" s="45" t="n">
        <f aca="false">Tanque_Septico!$D$27</f>
        <v>1.1</v>
      </c>
      <c r="E22" s="8" t="s">
        <v>368</v>
      </c>
      <c r="F22" s="11"/>
    </row>
    <row r="23" customFormat="false" ht="15" hidden="false" customHeight="false" outlineLevel="0" collapsed="false">
      <c r="A23" s="8" t="s">
        <v>689</v>
      </c>
      <c r="B23" s="9" t="s">
        <v>690</v>
      </c>
      <c r="C23" s="8"/>
      <c r="D23" s="45" t="n">
        <f aca="false">Tanque_Septico!$D$23</f>
        <v>1.5</v>
      </c>
      <c r="E23" s="8" t="s">
        <v>368</v>
      </c>
      <c r="F23" s="11"/>
    </row>
    <row r="24" customFormat="false" ht="15" hidden="false" customHeight="false" outlineLevel="0" collapsed="false">
      <c r="A24" s="8" t="s">
        <v>691</v>
      </c>
      <c r="B24" s="9" t="s">
        <v>692</v>
      </c>
      <c r="C24" s="8"/>
      <c r="D24" s="44" t="n">
        <f aca="false">FAFA!$D$13</f>
        <v>2252.16</v>
      </c>
      <c r="E24" s="8" t="s">
        <v>459</v>
      </c>
      <c r="F24" s="11"/>
    </row>
    <row r="25" customFormat="false" ht="15" hidden="false" customHeight="false" outlineLevel="0" collapsed="false">
      <c r="A25" s="8" t="s">
        <v>693</v>
      </c>
      <c r="B25" s="9" t="s">
        <v>694</v>
      </c>
      <c r="C25" s="8"/>
      <c r="D25" s="51" t="n">
        <f aca="false">FAFA!$D$36</f>
        <v>0.805</v>
      </c>
      <c r="E25" s="8" t="s">
        <v>163</v>
      </c>
      <c r="F25" s="11"/>
    </row>
    <row r="26" customFormat="false" ht="15" hidden="false" customHeight="false" outlineLevel="0" collapsed="false">
      <c r="A26" s="8" t="s">
        <v>695</v>
      </c>
      <c r="B26" s="9" t="s">
        <v>696</v>
      </c>
      <c r="C26" s="8"/>
      <c r="D26" s="49" t="n">
        <f aca="false">Campo_Infiltracion!$D$13</f>
        <v>63.9063737533215</v>
      </c>
      <c r="E26" s="8" t="s">
        <v>599</v>
      </c>
      <c r="F26" s="11"/>
    </row>
    <row r="27" customFormat="false" ht="15" hidden="false" customHeight="false" outlineLevel="0" collapsed="false">
      <c r="A27" s="8" t="s">
        <v>697</v>
      </c>
      <c r="B27" s="9" t="s">
        <v>698</v>
      </c>
      <c r="C27" s="8"/>
      <c r="D27" s="45" t="n">
        <f aca="false">Campo_Infiltracion!$D$14</f>
        <v>23.9412739315455</v>
      </c>
      <c r="E27" s="8" t="s">
        <v>79</v>
      </c>
      <c r="F27" s="11"/>
    </row>
    <row r="28" customFormat="false" ht="15" hidden="false" customHeight="false" outlineLevel="0" collapsed="false">
      <c r="A28" s="8" t="s">
        <v>699</v>
      </c>
      <c r="B28" s="9" t="s">
        <v>700</v>
      </c>
      <c r="C28" s="8"/>
      <c r="D28" s="31" t="n">
        <f aca="false">Campo_Infiltracion!$D$23</f>
        <v>2</v>
      </c>
      <c r="E28" s="8" t="s">
        <v>51</v>
      </c>
      <c r="F28" s="11"/>
    </row>
    <row r="29" customFormat="false" ht="15" hidden="false" customHeight="false" outlineLevel="0" collapsed="false">
      <c r="A29" s="8" t="s">
        <v>701</v>
      </c>
      <c r="B29" s="9" t="s">
        <v>702</v>
      </c>
      <c r="C29" s="8"/>
      <c r="D29" s="49" t="n">
        <f aca="false">Campo_Infiltracion!$D$24</f>
        <v>20</v>
      </c>
      <c r="E29" s="8" t="s">
        <v>368</v>
      </c>
      <c r="F29" s="11"/>
    </row>
    <row r="31" customFormat="false" ht="15" hidden="false" customHeight="false" outlineLevel="0" collapsed="false">
      <c r="A31" s="6" t="s">
        <v>703</v>
      </c>
      <c r="B31" s="6"/>
      <c r="C31" s="6"/>
      <c r="D31" s="6"/>
      <c r="E31" s="6"/>
      <c r="F31" s="6"/>
    </row>
    <row r="32" customFormat="false" ht="15" hidden="false" customHeight="false" outlineLevel="0" collapsed="false">
      <c r="A32" s="7" t="s">
        <v>6</v>
      </c>
      <c r="B32" s="7" t="s">
        <v>300</v>
      </c>
      <c r="C32" s="7" t="s">
        <v>704</v>
      </c>
      <c r="D32" s="7" t="s">
        <v>705</v>
      </c>
      <c r="E32" s="7"/>
      <c r="F32" s="7" t="s">
        <v>706</v>
      </c>
    </row>
    <row r="33" customFormat="false" ht="15" hidden="false" customHeight="false" outlineLevel="0" collapsed="false">
      <c r="A33" s="8" t="n">
        <v>1</v>
      </c>
      <c r="B33" s="9" t="s">
        <v>158</v>
      </c>
      <c r="C33" s="8" t="s">
        <v>707</v>
      </c>
      <c r="D33" s="18" t="str">
        <f aca="false">Poblacion!$D$34</f>
        <v>CUMPLE</v>
      </c>
      <c r="E33" s="8"/>
      <c r="F33" s="9"/>
    </row>
    <row r="34" customFormat="false" ht="23.85" hidden="false" customHeight="false" outlineLevel="0" collapsed="false">
      <c r="A34" s="8" t="n">
        <v>2</v>
      </c>
      <c r="B34" s="9" t="s">
        <v>251</v>
      </c>
      <c r="C34" s="8" t="s">
        <v>708</v>
      </c>
      <c r="D34" s="18" t="str">
        <f aca="false">Caudales_AR!$D$30</f>
        <v>CUMPLE</v>
      </c>
      <c r="E34" s="8"/>
      <c r="F34" s="9"/>
    </row>
    <row r="35" customFormat="false" ht="23.85" hidden="false" customHeight="false" outlineLevel="0" collapsed="false">
      <c r="A35" s="8" t="n">
        <v>3</v>
      </c>
      <c r="B35" s="9" t="s">
        <v>709</v>
      </c>
      <c r="C35" s="8" t="s">
        <v>710</v>
      </c>
      <c r="D35" s="18" t="str">
        <f aca="false">UD_Desagues!$F$23</f>
        <v>CUMPLE</v>
      </c>
      <c r="E35" s="8"/>
      <c r="F35" s="9"/>
    </row>
    <row r="36" customFormat="false" ht="23.85" hidden="false" customHeight="false" outlineLevel="0" collapsed="false">
      <c r="A36" s="8" t="n">
        <v>4</v>
      </c>
      <c r="B36" s="9" t="s">
        <v>711</v>
      </c>
      <c r="C36" s="8" t="s">
        <v>710</v>
      </c>
      <c r="D36" s="18" t="str">
        <f aca="false">UD_Desagues!$F$24</f>
        <v>CUMPLE</v>
      </c>
      <c r="E36" s="8"/>
      <c r="F36" s="9"/>
    </row>
    <row r="37" customFormat="false" ht="23.85" hidden="false" customHeight="false" outlineLevel="0" collapsed="false">
      <c r="A37" s="8" t="n">
        <v>5</v>
      </c>
      <c r="B37" s="9" t="s">
        <v>712</v>
      </c>
      <c r="C37" s="8" t="s">
        <v>710</v>
      </c>
      <c r="D37" s="18" t="str">
        <f aca="false">UD_Desagues!$F$25</f>
        <v>CUMPLE</v>
      </c>
      <c r="E37" s="8"/>
      <c r="F37" s="9"/>
    </row>
    <row r="38" customFormat="false" ht="23.85" hidden="false" customHeight="false" outlineLevel="0" collapsed="false">
      <c r="A38" s="8" t="n">
        <v>6</v>
      </c>
      <c r="B38" s="9" t="s">
        <v>713</v>
      </c>
      <c r="C38" s="8" t="s">
        <v>710</v>
      </c>
      <c r="D38" s="18" t="str">
        <f aca="false">UD_Desagues!$F$26</f>
        <v>CUMPLE</v>
      </c>
      <c r="E38" s="8"/>
      <c r="F38" s="9"/>
    </row>
    <row r="39" customFormat="false" ht="23.85" hidden="false" customHeight="false" outlineLevel="0" collapsed="false">
      <c r="A39" s="8" t="n">
        <v>7</v>
      </c>
      <c r="B39" s="9" t="s">
        <v>714</v>
      </c>
      <c r="C39" s="8" t="s">
        <v>710</v>
      </c>
      <c r="D39" s="18" t="str">
        <f aca="false">UD_Desagues!$F$27</f>
        <v>CUMPLE</v>
      </c>
      <c r="E39" s="8"/>
      <c r="F39" s="9"/>
    </row>
    <row r="40" customFormat="false" ht="23.85" hidden="false" customHeight="false" outlineLevel="0" collapsed="false">
      <c r="A40" s="8" t="n">
        <v>8</v>
      </c>
      <c r="B40" s="9" t="s">
        <v>309</v>
      </c>
      <c r="C40" s="8" t="s">
        <v>710</v>
      </c>
      <c r="D40" s="18" t="str">
        <f aca="false">UD_Desagues!$D$31</f>
        <v>CUMPLE</v>
      </c>
      <c r="E40" s="8"/>
      <c r="F40" s="9"/>
    </row>
    <row r="41" customFormat="false" ht="23.85" hidden="false" customHeight="false" outlineLevel="0" collapsed="false">
      <c r="A41" s="8" t="n">
        <v>9</v>
      </c>
      <c r="B41" s="9" t="s">
        <v>311</v>
      </c>
      <c r="C41" s="8" t="s">
        <v>710</v>
      </c>
      <c r="D41" s="18" t="str">
        <f aca="false">UD_Desagues!$D$32</f>
        <v>CUMPLE</v>
      </c>
      <c r="E41" s="8"/>
      <c r="F41" s="9"/>
    </row>
    <row r="42" customFormat="false" ht="23.85" hidden="false" customHeight="false" outlineLevel="0" collapsed="false">
      <c r="A42" s="8" t="n">
        <v>10</v>
      </c>
      <c r="B42" s="9" t="s">
        <v>315</v>
      </c>
      <c r="C42" s="8" t="s">
        <v>710</v>
      </c>
      <c r="D42" s="18" t="str">
        <f aca="false">UD_Desagues!$D$34</f>
        <v>CUMPLE</v>
      </c>
      <c r="E42" s="8"/>
      <c r="F42" s="9"/>
    </row>
    <row r="43" customFormat="false" ht="23.85" hidden="false" customHeight="false" outlineLevel="0" collapsed="false">
      <c r="A43" s="8" t="n">
        <v>11</v>
      </c>
      <c r="B43" s="9" t="s">
        <v>386</v>
      </c>
      <c r="C43" s="8" t="s">
        <v>715</v>
      </c>
      <c r="D43" s="18" t="str">
        <f aca="false">Aguas_Lluvias!$D$40</f>
        <v>CUMPLE</v>
      </c>
      <c r="E43" s="8"/>
      <c r="F43" s="9"/>
    </row>
    <row r="44" customFormat="false" ht="23.85" hidden="false" customHeight="false" outlineLevel="0" collapsed="false">
      <c r="A44" s="8" t="n">
        <v>12</v>
      </c>
      <c r="B44" s="9" t="s">
        <v>397</v>
      </c>
      <c r="C44" s="8" t="s">
        <v>715</v>
      </c>
      <c r="D44" s="18" t="str">
        <f aca="false">Aguas_Lluvias!$D$48</f>
        <v>CUMPLE</v>
      </c>
      <c r="E44" s="8"/>
      <c r="F44" s="9"/>
    </row>
    <row r="45" customFormat="false" ht="23.85" hidden="false" customHeight="false" outlineLevel="0" collapsed="false">
      <c r="A45" s="8" t="n">
        <v>13</v>
      </c>
      <c r="B45" s="9" t="s">
        <v>439</v>
      </c>
      <c r="C45" s="8" t="s">
        <v>716</v>
      </c>
      <c r="D45" s="18" t="str">
        <f aca="false">Hidraulica_Colectores!$C$21</f>
        <v>CUMPLE</v>
      </c>
      <c r="E45" s="8"/>
      <c r="F45" s="9"/>
    </row>
    <row r="46" customFormat="false" ht="23.85" hidden="false" customHeight="false" outlineLevel="0" collapsed="false">
      <c r="A46" s="8" t="n">
        <v>14</v>
      </c>
      <c r="B46" s="9" t="s">
        <v>440</v>
      </c>
      <c r="C46" s="8" t="s">
        <v>716</v>
      </c>
      <c r="D46" s="18" t="str">
        <f aca="false">Hidraulica_Colectores!$C$22</f>
        <v>CUMPLE</v>
      </c>
      <c r="E46" s="8"/>
      <c r="F46" s="9"/>
    </row>
    <row r="47" customFormat="false" ht="23.85" hidden="false" customHeight="false" outlineLevel="0" collapsed="false">
      <c r="A47" s="8" t="n">
        <v>15</v>
      </c>
      <c r="B47" s="9" t="s">
        <v>441</v>
      </c>
      <c r="C47" s="8" t="s">
        <v>716</v>
      </c>
      <c r="D47" s="18" t="str">
        <f aca="false">Hidraulica_Colectores!$C$23</f>
        <v>CUMPLE</v>
      </c>
      <c r="E47" s="8"/>
      <c r="F47" s="9"/>
    </row>
    <row r="48" customFormat="false" ht="23.85" hidden="false" customHeight="false" outlineLevel="0" collapsed="false">
      <c r="A48" s="8" t="n">
        <v>16</v>
      </c>
      <c r="B48" s="9" t="s">
        <v>473</v>
      </c>
      <c r="C48" s="8" t="s">
        <v>717</v>
      </c>
      <c r="D48" s="18" t="str">
        <f aca="false">Trampa_Grasas!$D$25</f>
        <v>CUMPLE</v>
      </c>
      <c r="E48" s="8"/>
      <c r="F48" s="9"/>
    </row>
    <row r="49" customFormat="false" ht="23.85" hidden="false" customHeight="false" outlineLevel="0" collapsed="false">
      <c r="A49" s="8" t="n">
        <v>17</v>
      </c>
      <c r="B49" s="9" t="s">
        <v>475</v>
      </c>
      <c r="C49" s="8" t="s">
        <v>717</v>
      </c>
      <c r="D49" s="18" t="str">
        <f aca="false">Trampa_Grasas!$D$27</f>
        <v>CUMPLE</v>
      </c>
      <c r="E49" s="8"/>
      <c r="F49" s="9"/>
    </row>
    <row r="50" customFormat="false" ht="23.85" hidden="false" customHeight="false" outlineLevel="0" collapsed="false">
      <c r="A50" s="8" t="n">
        <v>18</v>
      </c>
      <c r="B50" s="9" t="s">
        <v>480</v>
      </c>
      <c r="C50" s="8" t="s">
        <v>717</v>
      </c>
      <c r="D50" s="18" t="str">
        <f aca="false">Trampa_Grasas!$D$29</f>
        <v>CUMPLE</v>
      </c>
      <c r="E50" s="8"/>
      <c r="F50" s="9"/>
    </row>
    <row r="51" customFormat="false" ht="23.85" hidden="false" customHeight="false" outlineLevel="0" collapsed="false">
      <c r="A51" s="8" t="n">
        <v>19</v>
      </c>
      <c r="B51" s="9" t="s">
        <v>491</v>
      </c>
      <c r="C51" s="8" t="s">
        <v>718</v>
      </c>
      <c r="D51" s="18" t="str">
        <f aca="false">Tanque_Septico!$D$11</f>
        <v>CUMPLE</v>
      </c>
      <c r="E51" s="8"/>
      <c r="F51" s="9"/>
    </row>
    <row r="52" customFormat="false" ht="23.85" hidden="false" customHeight="false" outlineLevel="0" collapsed="false">
      <c r="A52" s="8" t="n">
        <v>20</v>
      </c>
      <c r="B52" s="9" t="s">
        <v>510</v>
      </c>
      <c r="C52" s="8" t="s">
        <v>718</v>
      </c>
      <c r="D52" s="18" t="str">
        <f aca="false">Tanque_Septico!$D$26</f>
        <v>CUMPLE</v>
      </c>
      <c r="E52" s="8"/>
      <c r="F52" s="9"/>
    </row>
    <row r="53" customFormat="false" ht="23.85" hidden="false" customHeight="false" outlineLevel="0" collapsed="false">
      <c r="A53" s="8" t="n">
        <v>21</v>
      </c>
      <c r="B53" s="9" t="s">
        <v>512</v>
      </c>
      <c r="C53" s="8" t="s">
        <v>718</v>
      </c>
      <c r="D53" s="18" t="str">
        <f aca="false">Tanque_Septico!$D$28</f>
        <v>CUMPLE</v>
      </c>
      <c r="E53" s="8"/>
      <c r="F53" s="9"/>
    </row>
    <row r="54" customFormat="false" ht="23.85" hidden="false" customHeight="false" outlineLevel="0" collapsed="false">
      <c r="A54" s="8" t="n">
        <v>22</v>
      </c>
      <c r="B54" s="9" t="s">
        <v>519</v>
      </c>
      <c r="C54" s="8" t="s">
        <v>718</v>
      </c>
      <c r="D54" s="18" t="str">
        <f aca="false">Tanque_Septico!$D$32</f>
        <v>CUMPLE</v>
      </c>
      <c r="E54" s="8"/>
      <c r="F54" s="9"/>
    </row>
    <row r="55" customFormat="false" ht="23.85" hidden="false" customHeight="false" outlineLevel="0" collapsed="false">
      <c r="A55" s="8" t="n">
        <v>23</v>
      </c>
      <c r="B55" s="9" t="s">
        <v>523</v>
      </c>
      <c r="C55" s="8" t="s">
        <v>718</v>
      </c>
      <c r="D55" s="18" t="str">
        <f aca="false">Tanque_Septico!$D$34</f>
        <v>CUMPLE</v>
      </c>
      <c r="E55" s="8"/>
      <c r="F55" s="9"/>
    </row>
    <row r="56" customFormat="false" ht="15" hidden="false" customHeight="false" outlineLevel="0" collapsed="false">
      <c r="A56" s="8" t="n">
        <v>24</v>
      </c>
      <c r="B56" s="9" t="s">
        <v>555</v>
      </c>
      <c r="C56" s="8" t="s">
        <v>719</v>
      </c>
      <c r="D56" s="18" t="str">
        <f aca="false">FAFA!$D$22</f>
        <v>CUMPLE</v>
      </c>
      <c r="E56" s="8"/>
      <c r="F56" s="9"/>
    </row>
    <row r="57" customFormat="false" ht="23.85" hidden="false" customHeight="false" outlineLevel="0" collapsed="false">
      <c r="A57" s="8" t="n">
        <v>25</v>
      </c>
      <c r="B57" s="9" t="s">
        <v>596</v>
      </c>
      <c r="C57" s="8" t="s">
        <v>720</v>
      </c>
      <c r="D57" s="18" t="str">
        <f aca="false">Campo_Infiltracion!$D$12</f>
        <v>CUMPLE</v>
      </c>
      <c r="E57" s="8"/>
      <c r="F57" s="9"/>
    </row>
    <row r="58" customFormat="false" ht="23.85" hidden="false" customHeight="false" outlineLevel="0" collapsed="false">
      <c r="A58" s="8" t="n">
        <v>26</v>
      </c>
      <c r="B58" s="9" t="s">
        <v>606</v>
      </c>
      <c r="C58" s="8" t="s">
        <v>720</v>
      </c>
      <c r="D58" s="18" t="str">
        <f aca="false">Campo_Infiltracion!$D$19</f>
        <v>CUMPLE</v>
      </c>
      <c r="E58" s="8"/>
      <c r="F58" s="9"/>
    </row>
    <row r="59" customFormat="false" ht="23.85" hidden="false" customHeight="false" outlineLevel="0" collapsed="false">
      <c r="A59" s="8" t="n">
        <v>27</v>
      </c>
      <c r="B59" s="9" t="s">
        <v>612</v>
      </c>
      <c r="C59" s="8" t="s">
        <v>720</v>
      </c>
      <c r="D59" s="18" t="str">
        <f aca="false">Campo_Infiltracion!$D$22</f>
        <v>CUMPLE</v>
      </c>
      <c r="E59" s="8"/>
      <c r="F59" s="9"/>
    </row>
    <row r="60" customFormat="false" ht="23.85" hidden="false" customHeight="false" outlineLevel="0" collapsed="false">
      <c r="A60" s="8" t="n">
        <v>28</v>
      </c>
      <c r="B60" s="9" t="s">
        <v>619</v>
      </c>
      <c r="C60" s="8" t="s">
        <v>720</v>
      </c>
      <c r="D60" s="18" t="str">
        <f aca="false">Campo_Infiltracion!$D$26</f>
        <v>CUMPLE</v>
      </c>
      <c r="E60" s="8"/>
      <c r="F60" s="9"/>
    </row>
    <row r="61" customFormat="false" ht="23.85" hidden="false" customHeight="false" outlineLevel="0" collapsed="false">
      <c r="A61" s="8" t="n">
        <v>29</v>
      </c>
      <c r="B61" s="9" t="s">
        <v>623</v>
      </c>
      <c r="C61" s="8" t="s">
        <v>720</v>
      </c>
      <c r="D61" s="18" t="str">
        <f aca="false">Campo_Infiltracion!$D$28</f>
        <v>CUMPLE</v>
      </c>
      <c r="E61" s="8"/>
      <c r="F61" s="9"/>
    </row>
    <row r="62" customFormat="false" ht="23.85" hidden="false" customHeight="false" outlineLevel="0" collapsed="false">
      <c r="A62" s="8" t="n">
        <v>30</v>
      </c>
      <c r="B62" s="9" t="s">
        <v>627</v>
      </c>
      <c r="C62" s="8" t="s">
        <v>720</v>
      </c>
      <c r="D62" s="18" t="str">
        <f aca="false">Campo_Infiltracion!$D$30</f>
        <v>CUMPLE</v>
      </c>
      <c r="E62" s="8"/>
      <c r="F62" s="9"/>
    </row>
    <row r="63" customFormat="false" ht="23.85" hidden="false" customHeight="false" outlineLevel="0" collapsed="false">
      <c r="A63" s="8" t="n">
        <v>31</v>
      </c>
      <c r="B63" s="9" t="s">
        <v>636</v>
      </c>
      <c r="C63" s="8" t="s">
        <v>720</v>
      </c>
      <c r="D63" s="18" t="str">
        <f aca="false">Campo_Infiltracion!$D$33</f>
        <v>CUMPLE</v>
      </c>
      <c r="E63" s="8"/>
      <c r="F63" s="9"/>
    </row>
    <row r="64" customFormat="false" ht="23.85" hidden="false" customHeight="false" outlineLevel="0" collapsed="false">
      <c r="A64" s="8" t="n">
        <v>32</v>
      </c>
      <c r="B64" s="9" t="s">
        <v>641</v>
      </c>
      <c r="C64" s="8" t="s">
        <v>720</v>
      </c>
      <c r="D64" s="18" t="str">
        <f aca="false">Campo_Infiltracion!$D$35</f>
        <v>CUMPLE</v>
      </c>
      <c r="E64" s="8"/>
      <c r="F64" s="9"/>
    </row>
    <row r="65" customFormat="false" ht="23.85" hidden="false" customHeight="false" outlineLevel="0" collapsed="false">
      <c r="A65" s="8" t="n">
        <v>33</v>
      </c>
      <c r="B65" s="9" t="s">
        <v>647</v>
      </c>
      <c r="C65" s="8" t="s">
        <v>720</v>
      </c>
      <c r="D65" s="18" t="str">
        <f aca="false">Campo_Infiltracion!$D$41</f>
        <v>CUMPLE</v>
      </c>
      <c r="E65" s="8"/>
      <c r="F65" s="9"/>
    </row>
    <row r="66" customFormat="false" ht="23.85" hidden="false" customHeight="false" outlineLevel="0" collapsed="false">
      <c r="A66" s="8" t="n">
        <v>34</v>
      </c>
      <c r="B66" s="9" t="s">
        <v>651</v>
      </c>
      <c r="C66" s="8" t="s">
        <v>720</v>
      </c>
      <c r="D66" s="18" t="str">
        <f aca="false">Campo_Infiltracion!$D$44</f>
        <v>CUMPLE</v>
      </c>
      <c r="E66" s="8"/>
      <c r="F66" s="9"/>
    </row>
    <row r="67" customFormat="false" ht="23.85" hidden="false" customHeight="false" outlineLevel="0" collapsed="false">
      <c r="A67" s="8" t="n">
        <v>35</v>
      </c>
      <c r="B67" s="9" t="s">
        <v>655</v>
      </c>
      <c r="C67" s="8" t="s">
        <v>720</v>
      </c>
      <c r="D67" s="18" t="str">
        <f aca="false">Campo_Infiltracion!$D$47</f>
        <v>CUMPLE</v>
      </c>
      <c r="E67" s="8"/>
      <c r="F67" s="9"/>
    </row>
    <row r="68" customFormat="false" ht="23.85" hidden="false" customHeight="false" outlineLevel="0" collapsed="false">
      <c r="A68" s="8" t="n">
        <v>36</v>
      </c>
      <c r="B68" s="9" t="s">
        <v>659</v>
      </c>
      <c r="C68" s="8" t="s">
        <v>720</v>
      </c>
      <c r="D68" s="18" t="str">
        <f aca="false">Campo_Infiltracion!$D$50</f>
        <v>CUMPLE</v>
      </c>
      <c r="E68" s="8"/>
      <c r="F68" s="9"/>
    </row>
    <row r="69" customFormat="false" ht="23.85" hidden="false" customHeight="false" outlineLevel="0" collapsed="false">
      <c r="A69" s="8" t="n">
        <v>37</v>
      </c>
      <c r="B69" s="9" t="s">
        <v>662</v>
      </c>
      <c r="C69" s="8" t="s">
        <v>720</v>
      </c>
      <c r="D69" s="18" t="str">
        <f aca="false">Campo_Infiltracion!$D$53</f>
        <v>CUMPLE</v>
      </c>
      <c r="E69" s="8"/>
      <c r="F69" s="9"/>
    </row>
    <row r="70" customFormat="false" ht="23.85" hidden="false" customHeight="false" outlineLevel="0" collapsed="false">
      <c r="A70" s="8" t="n">
        <v>38</v>
      </c>
      <c r="B70" s="9" t="s">
        <v>667</v>
      </c>
      <c r="C70" s="8" t="s">
        <v>720</v>
      </c>
      <c r="D70" s="18" t="str">
        <f aca="false">Campo_Infiltracion!$D$56</f>
        <v>CUMPLE</v>
      </c>
      <c r="E70" s="8"/>
      <c r="F70" s="9"/>
    </row>
    <row r="72" customFormat="false" ht="15" hidden="false" customHeight="false" outlineLevel="0" collapsed="false">
      <c r="A72" s="8" t="s">
        <v>48</v>
      </c>
      <c r="B72" s="9" t="s">
        <v>721</v>
      </c>
      <c r="C72" s="8" t="s">
        <v>141</v>
      </c>
      <c r="D72" s="16" t="n">
        <f aca="false">COUNTIF(D33:D70,"NO CUMPLE")</f>
        <v>0</v>
      </c>
      <c r="E72" s="8"/>
      <c r="F72" s="11" t="s">
        <v>722</v>
      </c>
    </row>
    <row r="73" customFormat="false" ht="15" hidden="false" customHeight="false" outlineLevel="0" collapsed="false">
      <c r="A73" s="8" t="s">
        <v>52</v>
      </c>
      <c r="B73" s="9" t="s">
        <v>723</v>
      </c>
      <c r="C73" s="8" t="s">
        <v>159</v>
      </c>
      <c r="D73" s="18" t="str">
        <f aca="false">IF($D$72=0,"CUMPLE","NO CUMPLE")</f>
        <v>CUMPLE</v>
      </c>
      <c r="E73" s="8"/>
      <c r="F73" s="11" t="s">
        <v>724</v>
      </c>
    </row>
  </sheetData>
  <mergeCells count="5">
    <mergeCell ref="A1:F1"/>
    <mergeCell ref="A2:F2"/>
    <mergeCell ref="A3:F3"/>
    <mergeCell ref="A6:F6"/>
    <mergeCell ref="A31:F31"/>
  </mergeCells>
  <conditionalFormatting sqref="D33:D70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conditionalFormatting sqref="D73">
    <cfRule type="cellIs" priority="4" operator="equal" aboveAverage="0" equalAverage="0" bottom="0" percent="0" rank="0" text="" dxfId="0">
      <formula>"CUMPLE"</formula>
    </cfRule>
    <cfRule type="cellIs" priority="5" operator="equal" aboveAverage="0" equalAverage="0" bottom="0" percent="0" rank="0" text="" dxfId="1">
      <formula>"NO CUMPLE"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725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6" customFormat="false" ht="15" hidden="false" customHeight="false" outlineLevel="0" collapsed="false">
      <c r="A6" s="6" t="s">
        <v>726</v>
      </c>
      <c r="B6" s="6"/>
      <c r="C6" s="6"/>
      <c r="D6" s="6"/>
      <c r="E6" s="6"/>
      <c r="F6" s="6"/>
      <c r="G6" s="6"/>
      <c r="H6" s="6"/>
      <c r="I6" s="6"/>
    </row>
    <row r="7" customFormat="false" ht="12.75" hidden="false" customHeight="true" outlineLevel="0" collapsed="false">
      <c r="B7" s="4" t="s">
        <v>727</v>
      </c>
      <c r="C7" s="4"/>
      <c r="D7" s="4"/>
      <c r="E7" s="4"/>
      <c r="F7" s="4"/>
      <c r="G7" s="4"/>
      <c r="H7" s="4"/>
      <c r="I7" s="4"/>
    </row>
    <row r="8" customFormat="false" ht="39.75" hidden="false" customHeight="true" outlineLevel="0" collapsed="false">
      <c r="A8" s="7" t="s">
        <v>728</v>
      </c>
      <c r="B8" s="7" t="s">
        <v>729</v>
      </c>
      <c r="C8" s="7" t="s">
        <v>730</v>
      </c>
    </row>
    <row r="9" customFormat="false" ht="15" hidden="false" customHeight="false" outlineLevel="0" collapsed="false">
      <c r="A9" s="9" t="n">
        <v>1</v>
      </c>
      <c r="B9" s="20" t="n">
        <v>3</v>
      </c>
      <c r="C9" s="42" t="n">
        <f aca="false">B9*0.0630902</f>
        <v>0.1892706</v>
      </c>
    </row>
    <row r="10" customFormat="false" ht="15" hidden="false" customHeight="false" outlineLevel="0" collapsed="false">
      <c r="A10" s="9" t="n">
        <v>2</v>
      </c>
      <c r="B10" s="20" t="n">
        <v>5</v>
      </c>
      <c r="C10" s="42" t="n">
        <f aca="false">B10*0.0630902</f>
        <v>0.315451</v>
      </c>
    </row>
    <row r="11" customFormat="false" ht="15" hidden="false" customHeight="false" outlineLevel="0" collapsed="false">
      <c r="A11" s="9" t="n">
        <v>3</v>
      </c>
      <c r="B11" s="20" t="n">
        <v>6.5</v>
      </c>
      <c r="C11" s="42" t="n">
        <f aca="false">B11*0.0630902</f>
        <v>0.4100863</v>
      </c>
    </row>
    <row r="12" customFormat="false" ht="15" hidden="false" customHeight="false" outlineLevel="0" collapsed="false">
      <c r="A12" s="9" t="n">
        <v>4</v>
      </c>
      <c r="B12" s="20" t="n">
        <v>8</v>
      </c>
      <c r="C12" s="42" t="n">
        <f aca="false">B12*0.0630902</f>
        <v>0.5047216</v>
      </c>
    </row>
    <row r="13" customFormat="false" ht="15" hidden="false" customHeight="false" outlineLevel="0" collapsed="false">
      <c r="A13" s="9" t="n">
        <v>5</v>
      </c>
      <c r="B13" s="20" t="n">
        <v>9.4</v>
      </c>
      <c r="C13" s="42" t="n">
        <f aca="false">B13*0.0630902</f>
        <v>0.59304788</v>
      </c>
    </row>
    <row r="14" customFormat="false" ht="15" hidden="false" customHeight="false" outlineLevel="0" collapsed="false">
      <c r="A14" s="9" t="n">
        <v>6</v>
      </c>
      <c r="B14" s="20" t="n">
        <v>10.7</v>
      </c>
      <c r="C14" s="42" t="n">
        <f aca="false">B14*0.0630902</f>
        <v>0.67506514</v>
      </c>
    </row>
    <row r="15" customFormat="false" ht="15" hidden="false" customHeight="false" outlineLevel="0" collapsed="false">
      <c r="A15" s="9" t="n">
        <v>7</v>
      </c>
      <c r="B15" s="20" t="n">
        <v>11.8</v>
      </c>
      <c r="C15" s="42" t="n">
        <f aca="false">B15*0.0630902</f>
        <v>0.74446436</v>
      </c>
    </row>
    <row r="16" customFormat="false" ht="15" hidden="false" customHeight="false" outlineLevel="0" collapsed="false">
      <c r="A16" s="9" t="n">
        <v>8</v>
      </c>
      <c r="B16" s="20" t="n">
        <v>12.8</v>
      </c>
      <c r="C16" s="42" t="n">
        <f aca="false">B16*0.0630902</f>
        <v>0.80755456</v>
      </c>
    </row>
    <row r="17" customFormat="false" ht="15" hidden="false" customHeight="false" outlineLevel="0" collapsed="false">
      <c r="A17" s="9" t="n">
        <v>9</v>
      </c>
      <c r="B17" s="20" t="n">
        <v>13.7</v>
      </c>
      <c r="C17" s="42" t="n">
        <f aca="false">B17*0.0630902</f>
        <v>0.86433574</v>
      </c>
    </row>
    <row r="18" customFormat="false" ht="15" hidden="false" customHeight="false" outlineLevel="0" collapsed="false">
      <c r="A18" s="9" t="n">
        <v>10</v>
      </c>
      <c r="B18" s="20" t="n">
        <v>14.6</v>
      </c>
      <c r="C18" s="42" t="n">
        <f aca="false">B18*0.0630902</f>
        <v>0.92111692</v>
      </c>
    </row>
    <row r="19" customFormat="false" ht="15" hidden="false" customHeight="false" outlineLevel="0" collapsed="false">
      <c r="A19" s="9" t="n">
        <v>11</v>
      </c>
      <c r="B19" s="20" t="n">
        <v>15.4</v>
      </c>
      <c r="C19" s="42" t="n">
        <f aca="false">B19*0.0630902</f>
        <v>0.97158908</v>
      </c>
    </row>
    <row r="20" customFormat="false" ht="15" hidden="false" customHeight="false" outlineLevel="0" collapsed="false">
      <c r="A20" s="9" t="n">
        <v>12</v>
      </c>
      <c r="B20" s="20" t="n">
        <v>16</v>
      </c>
      <c r="C20" s="42" t="n">
        <f aca="false">B20*0.0630902</f>
        <v>1.0094432</v>
      </c>
    </row>
    <row r="21" customFormat="false" ht="15" hidden="false" customHeight="false" outlineLevel="0" collapsed="false">
      <c r="A21" s="9" t="n">
        <v>13</v>
      </c>
      <c r="B21" s="20" t="n">
        <v>16.5</v>
      </c>
      <c r="C21" s="42" t="n">
        <f aca="false">B21*0.0630902</f>
        <v>1.0409883</v>
      </c>
    </row>
    <row r="22" customFormat="false" ht="15" hidden="false" customHeight="false" outlineLevel="0" collapsed="false">
      <c r="A22" s="9" t="n">
        <v>14</v>
      </c>
      <c r="B22" s="20" t="n">
        <v>17</v>
      </c>
      <c r="C22" s="42" t="n">
        <f aca="false">B22*0.0630902</f>
        <v>1.0725334</v>
      </c>
    </row>
    <row r="23" customFormat="false" ht="15" hidden="false" customHeight="false" outlineLevel="0" collapsed="false">
      <c r="A23" s="9" t="n">
        <v>15</v>
      </c>
      <c r="B23" s="20" t="n">
        <v>17.5</v>
      </c>
      <c r="C23" s="42" t="n">
        <f aca="false">B23*0.0630902</f>
        <v>1.1040785</v>
      </c>
    </row>
    <row r="24" customFormat="false" ht="15" hidden="false" customHeight="false" outlineLevel="0" collapsed="false">
      <c r="A24" s="9" t="n">
        <v>16</v>
      </c>
      <c r="B24" s="20" t="n">
        <v>18</v>
      </c>
      <c r="C24" s="42" t="n">
        <f aca="false">B24*0.0630902</f>
        <v>1.1356236</v>
      </c>
    </row>
    <row r="25" customFormat="false" ht="15" hidden="false" customHeight="false" outlineLevel="0" collapsed="false">
      <c r="A25" s="9" t="n">
        <v>17</v>
      </c>
      <c r="B25" s="20" t="n">
        <v>18.4</v>
      </c>
      <c r="C25" s="42" t="n">
        <f aca="false">B25*0.0630902</f>
        <v>1.16085968</v>
      </c>
    </row>
    <row r="26" customFormat="false" ht="15" hidden="false" customHeight="false" outlineLevel="0" collapsed="false">
      <c r="A26" s="9" t="n">
        <v>18</v>
      </c>
      <c r="B26" s="20" t="n">
        <v>18.8</v>
      </c>
      <c r="C26" s="42" t="n">
        <f aca="false">B26*0.0630902</f>
        <v>1.18609576</v>
      </c>
    </row>
    <row r="27" customFormat="false" ht="15" hidden="false" customHeight="false" outlineLevel="0" collapsed="false">
      <c r="A27" s="9" t="n">
        <v>19</v>
      </c>
      <c r="B27" s="20" t="n">
        <v>19.2</v>
      </c>
      <c r="C27" s="42" t="n">
        <f aca="false">B27*0.0630902</f>
        <v>1.21133184</v>
      </c>
    </row>
    <row r="28" customFormat="false" ht="15" hidden="false" customHeight="false" outlineLevel="0" collapsed="false">
      <c r="A28" s="9" t="n">
        <v>20</v>
      </c>
      <c r="B28" s="20" t="n">
        <v>19.6</v>
      </c>
      <c r="C28" s="42" t="n">
        <f aca="false">B28*0.0630902</f>
        <v>1.23656792</v>
      </c>
    </row>
    <row r="29" customFormat="false" ht="15" hidden="false" customHeight="false" outlineLevel="0" collapsed="false">
      <c r="A29" s="9" t="n">
        <v>25</v>
      </c>
      <c r="B29" s="20" t="n">
        <v>21.5</v>
      </c>
      <c r="C29" s="42" t="n">
        <f aca="false">B29*0.0630902</f>
        <v>1.3564393</v>
      </c>
    </row>
    <row r="30" customFormat="false" ht="15" hidden="false" customHeight="false" outlineLevel="0" collapsed="false">
      <c r="A30" s="9" t="n">
        <v>30</v>
      </c>
      <c r="B30" s="20" t="n">
        <v>23.3</v>
      </c>
      <c r="C30" s="42" t="n">
        <f aca="false">B30*0.0630902</f>
        <v>1.47000166</v>
      </c>
    </row>
    <row r="31" customFormat="false" ht="15" hidden="false" customHeight="false" outlineLevel="0" collapsed="false">
      <c r="A31" s="9" t="n">
        <v>35</v>
      </c>
      <c r="B31" s="20" t="n">
        <v>24.9</v>
      </c>
      <c r="C31" s="42" t="n">
        <f aca="false">B31*0.0630902</f>
        <v>1.57094598</v>
      </c>
    </row>
    <row r="32" customFormat="false" ht="15" hidden="false" customHeight="false" outlineLevel="0" collapsed="false">
      <c r="A32" s="9" t="n">
        <v>40</v>
      </c>
      <c r="B32" s="20" t="n">
        <v>26.3</v>
      </c>
      <c r="C32" s="42" t="n">
        <f aca="false">B32*0.0630902</f>
        <v>1.65927226</v>
      </c>
    </row>
    <row r="33" customFormat="false" ht="15" hidden="false" customHeight="false" outlineLevel="0" collapsed="false">
      <c r="A33" s="9" t="n">
        <v>45</v>
      </c>
      <c r="B33" s="20" t="n">
        <v>27.7</v>
      </c>
      <c r="C33" s="42" t="n">
        <f aca="false">B33*0.0630902</f>
        <v>1.74759854</v>
      </c>
    </row>
    <row r="34" customFormat="false" ht="15" hidden="false" customHeight="false" outlineLevel="0" collapsed="false">
      <c r="A34" s="9" t="n">
        <v>50</v>
      </c>
      <c r="B34" s="20" t="n">
        <v>29.1</v>
      </c>
      <c r="C34" s="42" t="n">
        <f aca="false">B34*0.0630902</f>
        <v>1.83592482</v>
      </c>
    </row>
    <row r="35" customFormat="false" ht="15" hidden="false" customHeight="false" outlineLevel="0" collapsed="false">
      <c r="A35" s="9" t="n">
        <v>60</v>
      </c>
      <c r="B35" s="20" t="n">
        <v>32</v>
      </c>
      <c r="C35" s="42" t="n">
        <f aca="false">B35*0.0630902</f>
        <v>2.0188864</v>
      </c>
    </row>
    <row r="36" customFormat="false" ht="15" hidden="false" customHeight="false" outlineLevel="0" collapsed="false">
      <c r="A36" s="9" t="n">
        <v>70</v>
      </c>
      <c r="B36" s="20" t="n">
        <v>35</v>
      </c>
      <c r="C36" s="42" t="n">
        <f aca="false">B36*0.0630902</f>
        <v>2.208157</v>
      </c>
    </row>
    <row r="37" customFormat="false" ht="15" hidden="false" customHeight="false" outlineLevel="0" collapsed="false">
      <c r="A37" s="9" t="n">
        <v>80</v>
      </c>
      <c r="B37" s="20" t="n">
        <v>38</v>
      </c>
      <c r="C37" s="42" t="n">
        <f aca="false">B37*0.0630902</f>
        <v>2.3974276</v>
      </c>
    </row>
    <row r="38" customFormat="false" ht="15" hidden="false" customHeight="false" outlineLevel="0" collapsed="false">
      <c r="A38" s="9" t="n">
        <v>90</v>
      </c>
      <c r="B38" s="20" t="n">
        <v>41</v>
      </c>
      <c r="C38" s="42" t="n">
        <f aca="false">B38*0.0630902</f>
        <v>2.5866982</v>
      </c>
    </row>
    <row r="39" customFormat="false" ht="15" hidden="false" customHeight="false" outlineLevel="0" collapsed="false">
      <c r="A39" s="9" t="n">
        <v>100</v>
      </c>
      <c r="B39" s="20" t="n">
        <v>43.5</v>
      </c>
      <c r="C39" s="42" t="n">
        <f aca="false">B39*0.0630902</f>
        <v>2.7444237</v>
      </c>
    </row>
    <row r="40" customFormat="false" ht="15" hidden="false" customHeight="false" outlineLevel="0" collapsed="false">
      <c r="A40" s="9" t="n">
        <v>120</v>
      </c>
      <c r="B40" s="20" t="n">
        <v>48</v>
      </c>
      <c r="C40" s="42" t="n">
        <f aca="false">B40*0.0630902</f>
        <v>3.0283296</v>
      </c>
    </row>
    <row r="41" customFormat="false" ht="15" hidden="false" customHeight="false" outlineLevel="0" collapsed="false">
      <c r="A41" s="9" t="n">
        <v>140</v>
      </c>
      <c r="B41" s="20" t="n">
        <v>52.5</v>
      </c>
      <c r="C41" s="42" t="n">
        <f aca="false">B41*0.0630902</f>
        <v>3.3122355</v>
      </c>
    </row>
    <row r="42" customFormat="false" ht="15" hidden="false" customHeight="false" outlineLevel="0" collapsed="false">
      <c r="A42" s="9" t="n">
        <v>160</v>
      </c>
      <c r="B42" s="20" t="n">
        <v>57</v>
      </c>
      <c r="C42" s="42" t="n">
        <f aca="false">B42*0.0630902</f>
        <v>3.5961414</v>
      </c>
    </row>
    <row r="43" customFormat="false" ht="15" hidden="false" customHeight="false" outlineLevel="0" collapsed="false">
      <c r="A43" s="9" t="n">
        <v>180</v>
      </c>
      <c r="B43" s="20" t="n">
        <v>61</v>
      </c>
      <c r="C43" s="42" t="n">
        <f aca="false">B43*0.0630902</f>
        <v>3.8485022</v>
      </c>
    </row>
    <row r="44" customFormat="false" ht="15" hidden="false" customHeight="false" outlineLevel="0" collapsed="false">
      <c r="A44" s="9" t="n">
        <v>200</v>
      </c>
      <c r="B44" s="20" t="n">
        <v>65</v>
      </c>
      <c r="C44" s="42" t="n">
        <f aca="false">B44*0.0630902</f>
        <v>4.100863</v>
      </c>
    </row>
    <row r="46" customFormat="false" ht="15" hidden="false" customHeight="false" outlineLevel="0" collapsed="false">
      <c r="A46" s="6" t="s">
        <v>731</v>
      </c>
      <c r="B46" s="6"/>
      <c r="C46" s="6"/>
      <c r="D46" s="6"/>
      <c r="E46" s="6"/>
      <c r="F46" s="6"/>
      <c r="G46" s="6"/>
      <c r="H46" s="6"/>
      <c r="I46" s="6"/>
    </row>
    <row r="47" customFormat="false" ht="25.5" hidden="false" customHeight="true" outlineLevel="0" collapsed="false">
      <c r="B47" s="4" t="s">
        <v>732</v>
      </c>
      <c r="C47" s="4"/>
      <c r="D47" s="4"/>
      <c r="E47" s="4"/>
      <c r="F47" s="4"/>
      <c r="G47" s="4"/>
      <c r="H47" s="4"/>
      <c r="I47" s="4"/>
    </row>
    <row r="48" customFormat="false" ht="39.75" hidden="false" customHeight="true" outlineLevel="0" collapsed="false">
      <c r="A48" s="7" t="s">
        <v>733</v>
      </c>
      <c r="B48" s="7" t="s">
        <v>734</v>
      </c>
      <c r="C48" s="7" t="s">
        <v>735</v>
      </c>
      <c r="D48" s="7" t="s">
        <v>736</v>
      </c>
      <c r="E48" s="7" t="s">
        <v>737</v>
      </c>
      <c r="F48" s="7" t="s">
        <v>738</v>
      </c>
      <c r="G48" s="7" t="s">
        <v>739</v>
      </c>
      <c r="H48" s="7" t="s">
        <v>740</v>
      </c>
    </row>
    <row r="49" customFormat="false" ht="15" hidden="false" customHeight="false" outlineLevel="0" collapsed="false">
      <c r="A49" s="9" t="s">
        <v>741</v>
      </c>
      <c r="B49" s="33" t="n">
        <v>0</v>
      </c>
      <c r="C49" s="8" t="n">
        <v>100</v>
      </c>
      <c r="D49" s="8" t="n">
        <v>150</v>
      </c>
      <c r="E49" s="19" t="n">
        <v>0.4</v>
      </c>
      <c r="F49" s="28" t="n">
        <v>1.3</v>
      </c>
      <c r="G49" s="28" t="n">
        <v>1.6</v>
      </c>
      <c r="H49" s="8" t="n">
        <v>15</v>
      </c>
    </row>
    <row r="50" customFormat="false" ht="15" hidden="false" customHeight="false" outlineLevel="0" collapsed="false">
      <c r="A50" s="9" t="s">
        <v>742</v>
      </c>
      <c r="B50" s="33" t="n">
        <v>2501</v>
      </c>
      <c r="C50" s="8" t="n">
        <v>120</v>
      </c>
      <c r="D50" s="8" t="n">
        <v>175</v>
      </c>
      <c r="E50" s="19" t="n">
        <v>0.3</v>
      </c>
      <c r="F50" s="28" t="n">
        <v>1.3</v>
      </c>
      <c r="G50" s="28" t="n">
        <v>1.6</v>
      </c>
      <c r="H50" s="8" t="n">
        <v>20</v>
      </c>
    </row>
    <row r="51" customFormat="false" ht="15" hidden="false" customHeight="false" outlineLevel="0" collapsed="false">
      <c r="A51" s="9" t="s">
        <v>743</v>
      </c>
      <c r="B51" s="33" t="n">
        <v>12501</v>
      </c>
      <c r="C51" s="8" t="n">
        <v>130</v>
      </c>
      <c r="D51" s="8" t="n">
        <v>175</v>
      </c>
      <c r="E51" s="19" t="n">
        <v>0.25</v>
      </c>
      <c r="F51" s="28" t="n">
        <v>1.2</v>
      </c>
      <c r="G51" s="28" t="n">
        <v>1.5</v>
      </c>
      <c r="H51" s="8" t="n">
        <v>25</v>
      </c>
    </row>
    <row r="52" customFormat="false" ht="15" hidden="false" customHeight="false" outlineLevel="0" collapsed="false">
      <c r="A52" s="9" t="s">
        <v>744</v>
      </c>
      <c r="B52" s="33" t="n">
        <v>60001</v>
      </c>
      <c r="C52" s="8" t="n">
        <v>150</v>
      </c>
      <c r="D52" s="8" t="n">
        <v>200</v>
      </c>
      <c r="E52" s="19" t="n">
        <v>0.2</v>
      </c>
      <c r="F52" s="28" t="n">
        <v>1.2</v>
      </c>
      <c r="G52" s="28" t="n">
        <v>1.5</v>
      </c>
      <c r="H52" s="8" t="n">
        <v>30</v>
      </c>
    </row>
    <row r="54" customFormat="false" ht="15" hidden="false" customHeight="false" outlineLevel="0" collapsed="false">
      <c r="A54" s="6" t="s">
        <v>745</v>
      </c>
      <c r="B54" s="6"/>
      <c r="C54" s="6"/>
      <c r="D54" s="6"/>
      <c r="E54" s="6"/>
      <c r="F54" s="6"/>
      <c r="G54" s="6"/>
      <c r="H54" s="6"/>
      <c r="I54" s="6"/>
    </row>
    <row r="55" customFormat="false" ht="12.75" hidden="false" customHeight="true" outlineLevel="0" collapsed="false">
      <c r="B55" s="4" t="s">
        <v>746</v>
      </c>
      <c r="C55" s="4"/>
      <c r="D55" s="4"/>
      <c r="E55" s="4"/>
      <c r="F55" s="4"/>
      <c r="G55" s="4"/>
      <c r="H55" s="4"/>
      <c r="I55" s="4"/>
    </row>
    <row r="56" customFormat="false" ht="39.75" hidden="false" customHeight="true" outlineLevel="0" collapsed="false">
      <c r="A56" s="7" t="s">
        <v>417</v>
      </c>
      <c r="B56" s="7" t="s">
        <v>747</v>
      </c>
      <c r="C56" s="7" t="s">
        <v>748</v>
      </c>
      <c r="D56" s="7" t="s">
        <v>749</v>
      </c>
      <c r="E56" s="7" t="s">
        <v>750</v>
      </c>
    </row>
    <row r="57" customFormat="false" ht="15" hidden="false" customHeight="false" outlineLevel="0" collapsed="false">
      <c r="A57" s="9" t="s">
        <v>284</v>
      </c>
      <c r="B57" s="8" t="n">
        <v>1.5</v>
      </c>
      <c r="C57" s="28" t="n">
        <v>48.26</v>
      </c>
      <c r="D57" s="28" t="n">
        <v>1.6</v>
      </c>
      <c r="E57" s="28" t="n">
        <f aca="false">C57-2*D57</f>
        <v>45.06</v>
      </c>
    </row>
    <row r="58" customFormat="false" ht="15" hidden="false" customHeight="false" outlineLevel="0" collapsed="false">
      <c r="A58" s="9" t="s">
        <v>286</v>
      </c>
      <c r="B58" s="8" t="n">
        <v>2</v>
      </c>
      <c r="C58" s="28" t="n">
        <v>60.32</v>
      </c>
      <c r="D58" s="28" t="n">
        <v>1.8</v>
      </c>
      <c r="E58" s="28" t="n">
        <f aca="false">C58-2*D58</f>
        <v>56.72</v>
      </c>
    </row>
    <row r="59" customFormat="false" ht="15" hidden="false" customHeight="false" outlineLevel="0" collapsed="false">
      <c r="A59" s="9" t="s">
        <v>305</v>
      </c>
      <c r="B59" s="8" t="n">
        <v>3</v>
      </c>
      <c r="C59" s="28" t="n">
        <v>88.9</v>
      </c>
      <c r="D59" s="28" t="n">
        <v>2</v>
      </c>
      <c r="E59" s="28" t="n">
        <f aca="false">C59-2*D59</f>
        <v>84.9</v>
      </c>
    </row>
    <row r="60" customFormat="false" ht="15" hidden="false" customHeight="false" outlineLevel="0" collapsed="false">
      <c r="A60" s="9" t="s">
        <v>281</v>
      </c>
      <c r="B60" s="8" t="n">
        <v>4</v>
      </c>
      <c r="C60" s="28" t="n">
        <v>114.3</v>
      </c>
      <c r="D60" s="28" t="n">
        <v>2.4</v>
      </c>
      <c r="E60" s="28" t="n">
        <f aca="false">C60-2*D60</f>
        <v>109.5</v>
      </c>
    </row>
    <row r="61" customFormat="false" ht="15" hidden="false" customHeight="false" outlineLevel="0" collapsed="false">
      <c r="A61" s="9" t="s">
        <v>438</v>
      </c>
      <c r="B61" s="8" t="n">
        <v>6</v>
      </c>
      <c r="C61" s="28" t="n">
        <v>168.28</v>
      </c>
      <c r="D61" s="28" t="n">
        <v>3.3</v>
      </c>
      <c r="E61" s="28" t="n">
        <f aca="false">C61-2*D61</f>
        <v>161.68</v>
      </c>
    </row>
    <row r="63" customFormat="false" ht="15" hidden="false" customHeight="false" outlineLevel="0" collapsed="false">
      <c r="A63" s="6" t="s">
        <v>751</v>
      </c>
      <c r="B63" s="6"/>
      <c r="C63" s="6"/>
      <c r="D63" s="6"/>
      <c r="E63" s="6"/>
      <c r="F63" s="6"/>
      <c r="G63" s="6"/>
      <c r="H63" s="6"/>
      <c r="I63" s="6"/>
    </row>
    <row r="64" customFormat="false" ht="25.5" hidden="false" customHeight="true" outlineLevel="0" collapsed="false">
      <c r="B64" s="4" t="s">
        <v>752</v>
      </c>
      <c r="C64" s="4"/>
      <c r="D64" s="4"/>
      <c r="E64" s="4"/>
      <c r="F64" s="4"/>
      <c r="G64" s="4"/>
      <c r="H64" s="4"/>
      <c r="I64" s="4"/>
    </row>
    <row r="65" customFormat="false" ht="39.75" hidden="false" customHeight="true" outlineLevel="0" collapsed="false">
      <c r="A65" s="7" t="s">
        <v>417</v>
      </c>
      <c r="B65" s="7" t="s">
        <v>753</v>
      </c>
      <c r="C65" s="7" t="s">
        <v>754</v>
      </c>
      <c r="D65" s="7" t="s">
        <v>755</v>
      </c>
      <c r="E65" s="7" t="s">
        <v>756</v>
      </c>
    </row>
    <row r="66" customFormat="false" ht="15" hidden="false" customHeight="false" outlineLevel="0" collapsed="false">
      <c r="A66" s="9" t="s">
        <v>284</v>
      </c>
      <c r="B66" s="8" t="n">
        <v>3</v>
      </c>
      <c r="C66" s="8" t="n">
        <v>4</v>
      </c>
      <c r="D66" s="8" t="n">
        <v>0</v>
      </c>
      <c r="E66" s="8" t="n">
        <v>0</v>
      </c>
    </row>
    <row r="67" customFormat="false" ht="15" hidden="false" customHeight="false" outlineLevel="0" collapsed="false">
      <c r="A67" s="9" t="s">
        <v>286</v>
      </c>
      <c r="B67" s="8" t="n">
        <v>6</v>
      </c>
      <c r="C67" s="8" t="n">
        <v>10</v>
      </c>
      <c r="D67" s="8" t="n">
        <v>0</v>
      </c>
      <c r="E67" s="8" t="n">
        <v>21</v>
      </c>
    </row>
    <row r="68" customFormat="false" ht="15" hidden="false" customHeight="false" outlineLevel="0" collapsed="false">
      <c r="A68" s="9" t="s">
        <v>305</v>
      </c>
      <c r="B68" s="8" t="n">
        <v>20</v>
      </c>
      <c r="C68" s="8" t="n">
        <v>48</v>
      </c>
      <c r="D68" s="8" t="n">
        <v>36</v>
      </c>
      <c r="E68" s="8" t="n">
        <v>42</v>
      </c>
    </row>
    <row r="69" customFormat="false" ht="15" hidden="false" customHeight="false" outlineLevel="0" collapsed="false">
      <c r="A69" s="9" t="s">
        <v>281</v>
      </c>
      <c r="B69" s="8" t="n">
        <v>160</v>
      </c>
      <c r="C69" s="8" t="n">
        <v>240</v>
      </c>
      <c r="D69" s="8" t="n">
        <v>180</v>
      </c>
      <c r="E69" s="8" t="n">
        <v>216</v>
      </c>
    </row>
    <row r="70" customFormat="false" ht="15" hidden="false" customHeight="false" outlineLevel="0" collapsed="false">
      <c r="A70" s="9" t="s">
        <v>438</v>
      </c>
      <c r="B70" s="8" t="n">
        <v>620</v>
      </c>
      <c r="C70" s="8" t="n">
        <v>960</v>
      </c>
      <c r="D70" s="8" t="n">
        <v>700</v>
      </c>
      <c r="E70" s="8" t="n">
        <v>840</v>
      </c>
    </row>
    <row r="72" customFormat="false" ht="15" hidden="false" customHeight="false" outlineLevel="0" collapsed="false">
      <c r="A72" s="6" t="s">
        <v>757</v>
      </c>
      <c r="B72" s="6"/>
      <c r="C72" s="6"/>
      <c r="D72" s="6"/>
      <c r="E72" s="6"/>
      <c r="F72" s="6"/>
      <c r="G72" s="6"/>
      <c r="H72" s="6"/>
      <c r="I72" s="6"/>
    </row>
    <row r="73" customFormat="false" ht="12.75" hidden="false" customHeight="true" outlineLevel="0" collapsed="false">
      <c r="B73" s="4" t="s">
        <v>758</v>
      </c>
      <c r="C73" s="4"/>
      <c r="D73" s="4"/>
      <c r="E73" s="4"/>
      <c r="F73" s="4"/>
      <c r="G73" s="4"/>
      <c r="H73" s="4"/>
      <c r="I73" s="4"/>
    </row>
    <row r="74" customFormat="false" ht="39.75" hidden="false" customHeight="true" outlineLevel="0" collapsed="false">
      <c r="A74" s="7" t="s">
        <v>417</v>
      </c>
      <c r="B74" s="7" t="s">
        <v>759</v>
      </c>
      <c r="C74" s="7" t="s">
        <v>760</v>
      </c>
    </row>
    <row r="75" customFormat="false" ht="15" hidden="false" customHeight="false" outlineLevel="0" collapsed="false">
      <c r="A75" s="9" t="s">
        <v>286</v>
      </c>
      <c r="B75" s="33" t="n">
        <v>2880</v>
      </c>
      <c r="C75" s="22" t="n">
        <f aca="false">B75*0.09290304</f>
        <v>267.5607552</v>
      </c>
    </row>
    <row r="76" customFormat="false" ht="15" hidden="false" customHeight="false" outlineLevel="0" collapsed="false">
      <c r="A76" s="9" t="s">
        <v>305</v>
      </c>
      <c r="B76" s="33" t="n">
        <v>8800</v>
      </c>
      <c r="C76" s="22" t="n">
        <f aca="false">B76*0.09290304</f>
        <v>817.546752</v>
      </c>
    </row>
    <row r="77" customFormat="false" ht="15" hidden="false" customHeight="false" outlineLevel="0" collapsed="false">
      <c r="A77" s="9" t="s">
        <v>281</v>
      </c>
      <c r="B77" s="33" t="n">
        <v>18400</v>
      </c>
      <c r="C77" s="22" t="n">
        <f aca="false">B77*0.09290304</f>
        <v>1709.415936</v>
      </c>
    </row>
    <row r="78" customFormat="false" ht="15" hidden="false" customHeight="false" outlineLevel="0" collapsed="false">
      <c r="A78" s="9" t="s">
        <v>438</v>
      </c>
      <c r="B78" s="33" t="n">
        <v>54000</v>
      </c>
      <c r="C78" s="22" t="n">
        <f aca="false">B78*0.09290304</f>
        <v>5016.76416</v>
      </c>
    </row>
    <row r="80" customFormat="false" ht="15" hidden="false" customHeight="false" outlineLevel="0" collapsed="false">
      <c r="A80" s="6" t="s">
        <v>761</v>
      </c>
      <c r="B80" s="6"/>
      <c r="C80" s="6"/>
      <c r="D80" s="6"/>
      <c r="E80" s="6"/>
      <c r="F80" s="6"/>
      <c r="G80" s="6"/>
      <c r="H80" s="6"/>
      <c r="I80" s="6"/>
    </row>
    <row r="81" customFormat="false" ht="39.75" hidden="false" customHeight="true" outlineLevel="0" collapsed="false">
      <c r="A81" s="7" t="s">
        <v>762</v>
      </c>
      <c r="B81" s="7" t="s">
        <v>763</v>
      </c>
    </row>
    <row r="82" customFormat="false" ht="15" hidden="false" customHeight="false" outlineLevel="0" collapsed="false">
      <c r="A82" s="52" t="n">
        <v>0</v>
      </c>
      <c r="B82" s="28" t="n">
        <v>1</v>
      </c>
    </row>
    <row r="83" customFormat="false" ht="15" hidden="false" customHeight="false" outlineLevel="0" collapsed="false">
      <c r="A83" s="52" t="n">
        <v>1501</v>
      </c>
      <c r="B83" s="28" t="n">
        <v>0.92</v>
      </c>
    </row>
    <row r="84" customFormat="false" ht="15" hidden="false" customHeight="false" outlineLevel="0" collapsed="false">
      <c r="A84" s="52" t="n">
        <v>3001</v>
      </c>
      <c r="B84" s="28" t="n">
        <v>0.83</v>
      </c>
    </row>
    <row r="85" customFormat="false" ht="15" hidden="false" customHeight="false" outlineLevel="0" collapsed="false">
      <c r="A85" s="52" t="n">
        <v>4501</v>
      </c>
      <c r="B85" s="28" t="n">
        <v>0.75</v>
      </c>
    </row>
    <row r="86" customFormat="false" ht="15" hidden="false" customHeight="false" outlineLevel="0" collapsed="false">
      <c r="A86" s="52" t="n">
        <v>6001</v>
      </c>
      <c r="B86" s="28" t="n">
        <v>0.67</v>
      </c>
    </row>
    <row r="87" customFormat="false" ht="15" hidden="false" customHeight="false" outlineLevel="0" collapsed="false">
      <c r="A87" s="52" t="n">
        <v>7501</v>
      </c>
      <c r="B87" s="28" t="n">
        <v>0.58</v>
      </c>
    </row>
    <row r="88" customFormat="false" ht="15" hidden="false" customHeight="false" outlineLevel="0" collapsed="false">
      <c r="A88" s="52" t="n">
        <v>9001</v>
      </c>
      <c r="B88" s="28" t="n">
        <v>0.5</v>
      </c>
    </row>
    <row r="90" customFormat="false" ht="15" hidden="false" customHeight="false" outlineLevel="0" collapsed="false">
      <c r="A90" s="6" t="s">
        <v>764</v>
      </c>
      <c r="B90" s="6"/>
      <c r="C90" s="6"/>
      <c r="D90" s="6"/>
      <c r="E90" s="6"/>
      <c r="F90" s="6"/>
      <c r="G90" s="6"/>
      <c r="H90" s="6"/>
      <c r="I90" s="6"/>
    </row>
    <row r="91" customFormat="false" ht="39.75" hidden="false" customHeight="true" outlineLevel="0" collapsed="false">
      <c r="A91" s="7" t="s">
        <v>765</v>
      </c>
      <c r="B91" s="7" t="s">
        <v>766</v>
      </c>
      <c r="C91" s="7" t="s">
        <v>767</v>
      </c>
      <c r="D91" s="7" t="s">
        <v>768</v>
      </c>
    </row>
    <row r="92" customFormat="false" ht="15" hidden="false" customHeight="false" outlineLevel="0" collapsed="false">
      <c r="A92" s="9" t="n">
        <v>1</v>
      </c>
      <c r="B92" s="8" t="n">
        <v>94</v>
      </c>
      <c r="C92" s="8" t="n">
        <v>65</v>
      </c>
      <c r="D92" s="8" t="n">
        <v>57</v>
      </c>
    </row>
    <row r="93" customFormat="false" ht="15" hidden="false" customHeight="false" outlineLevel="0" collapsed="false">
      <c r="A93" s="9" t="n">
        <v>2</v>
      </c>
      <c r="B93" s="8" t="n">
        <v>134</v>
      </c>
      <c r="C93" s="8" t="n">
        <v>105</v>
      </c>
      <c r="D93" s="8" t="n">
        <v>97</v>
      </c>
    </row>
    <row r="94" customFormat="false" ht="15" hidden="false" customHeight="false" outlineLevel="0" collapsed="false">
      <c r="A94" s="9" t="n">
        <v>3</v>
      </c>
      <c r="B94" s="8" t="n">
        <v>174</v>
      </c>
      <c r="C94" s="8" t="n">
        <v>145</v>
      </c>
      <c r="D94" s="8" t="n">
        <v>137</v>
      </c>
    </row>
    <row r="95" customFormat="false" ht="15" hidden="false" customHeight="false" outlineLevel="0" collapsed="false">
      <c r="A95" s="9" t="n">
        <v>4</v>
      </c>
      <c r="B95" s="8" t="n">
        <v>214</v>
      </c>
      <c r="C95" s="8" t="n">
        <v>185</v>
      </c>
      <c r="D95" s="8" t="n">
        <v>177</v>
      </c>
    </row>
    <row r="96" customFormat="false" ht="15" hidden="false" customHeight="false" outlineLevel="0" collapsed="false">
      <c r="A96" s="9" t="n">
        <v>5</v>
      </c>
      <c r="B96" s="8" t="n">
        <v>254</v>
      </c>
      <c r="C96" s="8" t="n">
        <v>225</v>
      </c>
      <c r="D96" s="8" t="n">
        <v>217</v>
      </c>
    </row>
    <row r="98" customFormat="false" ht="15" hidden="false" customHeight="false" outlineLevel="0" collapsed="false">
      <c r="A98" s="6" t="s">
        <v>769</v>
      </c>
      <c r="B98" s="6"/>
      <c r="C98" s="6"/>
      <c r="D98" s="6"/>
      <c r="E98" s="6"/>
      <c r="F98" s="6"/>
      <c r="G98" s="6"/>
      <c r="H98" s="6"/>
      <c r="I98" s="6"/>
    </row>
    <row r="99" customFormat="false" ht="39.75" hidden="false" customHeight="true" outlineLevel="0" collapsed="false">
      <c r="A99" s="7" t="s">
        <v>770</v>
      </c>
      <c r="B99" s="7" t="s">
        <v>771</v>
      </c>
      <c r="C99" s="7" t="s">
        <v>772</v>
      </c>
    </row>
    <row r="100" customFormat="false" ht="15" hidden="false" customHeight="false" outlineLevel="0" collapsed="false">
      <c r="A100" s="9" t="n">
        <v>0</v>
      </c>
      <c r="B100" s="28" t="n">
        <v>1.2</v>
      </c>
      <c r="C100" s="28" t="n">
        <v>2.2</v>
      </c>
    </row>
    <row r="101" customFormat="false" ht="15" hidden="false" customHeight="false" outlineLevel="0" collapsed="false">
      <c r="A101" s="9" t="n">
        <v>6</v>
      </c>
      <c r="B101" s="28" t="n">
        <v>1.5</v>
      </c>
      <c r="C101" s="28" t="n">
        <v>2.5</v>
      </c>
    </row>
    <row r="102" customFormat="false" ht="15" hidden="false" customHeight="false" outlineLevel="0" collapsed="false">
      <c r="A102" s="9" t="n">
        <v>10</v>
      </c>
      <c r="B102" s="28" t="n">
        <v>1.8</v>
      </c>
      <c r="C102" s="28" t="n">
        <v>2.8</v>
      </c>
    </row>
    <row r="104" customFormat="false" ht="15" hidden="false" customHeight="false" outlineLevel="0" collapsed="false">
      <c r="A104" s="6" t="s">
        <v>773</v>
      </c>
      <c r="B104" s="6"/>
      <c r="C104" s="6"/>
      <c r="D104" s="6"/>
      <c r="E104" s="6"/>
      <c r="F104" s="6"/>
      <c r="G104" s="6"/>
      <c r="H104" s="6"/>
      <c r="I104" s="6"/>
    </row>
    <row r="105" customFormat="false" ht="39.75" hidden="false" customHeight="true" outlineLevel="0" collapsed="false">
      <c r="A105" s="7" t="s">
        <v>762</v>
      </c>
      <c r="B105" s="7" t="s">
        <v>774</v>
      </c>
      <c r="C105" s="7" t="s">
        <v>775</v>
      </c>
      <c r="D105" s="7" t="s">
        <v>776</v>
      </c>
    </row>
    <row r="106" customFormat="false" ht="15" hidden="false" customHeight="false" outlineLevel="0" collapsed="false">
      <c r="A106" s="52" t="n">
        <v>0</v>
      </c>
      <c r="B106" s="28" t="n">
        <v>1.17</v>
      </c>
      <c r="C106" s="28" t="n">
        <v>1</v>
      </c>
      <c r="D106" s="28" t="n">
        <v>0.92</v>
      </c>
    </row>
    <row r="107" customFormat="false" ht="15" hidden="false" customHeight="false" outlineLevel="0" collapsed="false">
      <c r="A107" s="52" t="n">
        <v>1501</v>
      </c>
      <c r="B107" s="28" t="n">
        <v>1.08</v>
      </c>
      <c r="C107" s="28" t="n">
        <v>0.92</v>
      </c>
      <c r="D107" s="28" t="n">
        <v>0.83</v>
      </c>
    </row>
    <row r="108" customFormat="false" ht="15" hidden="false" customHeight="false" outlineLevel="0" collapsed="false">
      <c r="A108" s="52" t="n">
        <v>3001</v>
      </c>
      <c r="B108" s="28" t="n">
        <v>1</v>
      </c>
      <c r="C108" s="28" t="n">
        <v>0.83</v>
      </c>
      <c r="D108" s="28" t="n">
        <v>0.75</v>
      </c>
    </row>
    <row r="109" customFormat="false" ht="15" hidden="false" customHeight="false" outlineLevel="0" collapsed="false">
      <c r="A109" s="52" t="n">
        <v>4501</v>
      </c>
      <c r="B109" s="28" t="n">
        <v>0.92</v>
      </c>
      <c r="C109" s="28" t="n">
        <v>0.75</v>
      </c>
      <c r="D109" s="28" t="n">
        <v>0.67</v>
      </c>
    </row>
    <row r="110" customFormat="false" ht="15" hidden="false" customHeight="false" outlineLevel="0" collapsed="false">
      <c r="A110" s="52" t="n">
        <v>6001</v>
      </c>
      <c r="B110" s="28" t="n">
        <v>0.83</v>
      </c>
      <c r="C110" s="28" t="n">
        <v>0.67</v>
      </c>
      <c r="D110" s="28" t="n">
        <v>0.58</v>
      </c>
    </row>
    <row r="111" customFormat="false" ht="15" hidden="false" customHeight="false" outlineLevel="0" collapsed="false">
      <c r="A111" s="52" t="n">
        <v>7501</v>
      </c>
      <c r="B111" s="28" t="n">
        <v>0.75</v>
      </c>
      <c r="C111" s="28" t="n">
        <v>0.58</v>
      </c>
      <c r="D111" s="28" t="n">
        <v>0.5</v>
      </c>
    </row>
    <row r="112" customFormat="false" ht="15" hidden="false" customHeight="false" outlineLevel="0" collapsed="false">
      <c r="A112" s="52" t="n">
        <v>9001</v>
      </c>
      <c r="B112" s="28" t="n">
        <v>0.75</v>
      </c>
      <c r="C112" s="28" t="n">
        <v>0.5</v>
      </c>
      <c r="D112" s="28" t="n">
        <v>0.5</v>
      </c>
    </row>
    <row r="114" customFormat="false" ht="15" hidden="false" customHeight="false" outlineLevel="0" collapsed="false">
      <c r="A114" s="6" t="s">
        <v>777</v>
      </c>
      <c r="B114" s="6"/>
      <c r="C114" s="6"/>
      <c r="D114" s="6"/>
      <c r="E114" s="6"/>
      <c r="F114" s="6"/>
      <c r="G114" s="6"/>
      <c r="H114" s="6"/>
      <c r="I114" s="6"/>
    </row>
    <row r="115" customFormat="false" ht="12.75" hidden="false" customHeight="true" outlineLevel="0" collapsed="false">
      <c r="B115" s="4" t="s">
        <v>778</v>
      </c>
      <c r="C115" s="4"/>
      <c r="D115" s="4"/>
      <c r="E115" s="4"/>
      <c r="F115" s="4"/>
      <c r="G115" s="4"/>
      <c r="H115" s="4"/>
      <c r="I115" s="4"/>
    </row>
    <row r="116" customFormat="false" ht="39.75" hidden="false" customHeight="true" outlineLevel="0" collapsed="false">
      <c r="A116" s="7" t="s">
        <v>423</v>
      </c>
      <c r="B116" s="7" t="s">
        <v>779</v>
      </c>
      <c r="C116" s="7" t="s">
        <v>780</v>
      </c>
      <c r="D116" s="7" t="s">
        <v>781</v>
      </c>
      <c r="E116" s="7" t="s">
        <v>426</v>
      </c>
      <c r="F116" s="7" t="s">
        <v>424</v>
      </c>
      <c r="G116" s="7" t="s">
        <v>422</v>
      </c>
    </row>
    <row r="117" customFormat="false" ht="15" hidden="false" customHeight="false" outlineLevel="0" collapsed="false">
      <c r="A117" s="53" t="n">
        <v>0.01</v>
      </c>
      <c r="B117" s="29" t="n">
        <f aca="false">2*ACOS(1-2*A117)</f>
        <v>0.400669684646239</v>
      </c>
      <c r="C117" s="29" t="n">
        <f aca="false">(B117-SIN(B117))/(2*PI())</f>
        <v>0.00169255063801674</v>
      </c>
      <c r="D117" s="29" t="n">
        <f aca="false">B117/(2*PI())</f>
        <v>0.0637685608585199</v>
      </c>
      <c r="E117" s="29" t="n">
        <f aca="false">C117/D117</f>
        <v>0.0265420861821221</v>
      </c>
      <c r="F117" s="29" t="n">
        <f aca="false">E117^(2/3)</f>
        <v>0.0889795155018592</v>
      </c>
      <c r="G117" s="29" t="n">
        <f aca="false">C117*F117</f>
        <v>0.000150602335733092</v>
      </c>
    </row>
    <row r="118" customFormat="false" ht="15" hidden="false" customHeight="false" outlineLevel="0" collapsed="false">
      <c r="A118" s="53" t="n">
        <v>0.02</v>
      </c>
      <c r="B118" s="29" t="n">
        <f aca="false">2*ACOS(1-2*A118)</f>
        <v>0.567588218416656</v>
      </c>
      <c r="C118" s="29" t="n">
        <f aca="false">(B118-SIN(B118))/(2*PI())</f>
        <v>0.00477277319553018</v>
      </c>
      <c r="D118" s="29" t="n">
        <f aca="false">B118/(2*PI())</f>
        <v>0.0903344706017332</v>
      </c>
      <c r="E118" s="29" t="n">
        <f aca="false">C118/D118</f>
        <v>0.0528344624564458</v>
      </c>
      <c r="F118" s="29" t="n">
        <f aca="false">E118^(2/3)</f>
        <v>0.140802877018452</v>
      </c>
      <c r="G118" s="29" t="n">
        <f aca="false">C118*F118</f>
        <v>0.0006720201972872</v>
      </c>
    </row>
    <row r="119" customFormat="false" ht="15" hidden="false" customHeight="false" outlineLevel="0" collapsed="false">
      <c r="A119" s="53" t="n">
        <v>0.03</v>
      </c>
      <c r="B119" s="29" t="n">
        <f aca="false">2*ACOS(1-2*A119)</f>
        <v>0.696332042545922</v>
      </c>
      <c r="C119" s="29" t="n">
        <f aca="false">(B119-SIN(B119))/(2*PI())</f>
        <v>0.00874144061548518</v>
      </c>
      <c r="D119" s="29" t="n">
        <f aca="false">B119/(2*PI())</f>
        <v>0.110824686604459</v>
      </c>
      <c r="E119" s="29" t="n">
        <f aca="false">C119/D119</f>
        <v>0.078876294472945</v>
      </c>
      <c r="F119" s="29" t="n">
        <f aca="false">E119^(2/3)</f>
        <v>0.183920864577674</v>
      </c>
      <c r="G119" s="29" t="n">
        <f aca="false">C119*F119</f>
        <v>0.00160773331565443</v>
      </c>
    </row>
    <row r="120" customFormat="false" ht="15" hidden="false" customHeight="false" outlineLevel="0" collapsed="false">
      <c r="A120" s="53" t="n">
        <v>0.04</v>
      </c>
      <c r="B120" s="29" t="n">
        <f aca="false">2*ACOS(1-2*A120)</f>
        <v>0.805431683161323</v>
      </c>
      <c r="C120" s="29" t="n">
        <f aca="false">(B120-SIN(B120))/(2*PI())</f>
        <v>0.0134170645563527</v>
      </c>
      <c r="D120" s="29" t="n">
        <f aca="false">B120/(2*PI())</f>
        <v>0.12818843369795</v>
      </c>
      <c r="E120" s="29" t="n">
        <f aca="false">C120/D120</f>
        <v>0.104666732943842</v>
      </c>
      <c r="F120" s="29" t="n">
        <f aca="false">E120^(2/3)</f>
        <v>0.22209516917052</v>
      </c>
      <c r="G120" s="29" t="n">
        <f aca="false">C120*F120</f>
        <v>0.00297986522241495</v>
      </c>
    </row>
    <row r="121" customFormat="false" ht="15" hidden="false" customHeight="false" outlineLevel="0" collapsed="false">
      <c r="A121" s="53" t="n">
        <v>0.05</v>
      </c>
      <c r="B121" s="29" t="n">
        <f aca="false">2*ACOS(1-2*A121)</f>
        <v>0.902053623592525</v>
      </c>
      <c r="C121" s="29" t="n">
        <f aca="false">(B121-SIN(B121))/(2*PI())</f>
        <v>0.0186930367342493</v>
      </c>
      <c r="D121" s="29" t="n">
        <f aca="false">B121/(2*PI())</f>
        <v>0.143566293128706</v>
      </c>
      <c r="E121" s="29" t="n">
        <f aca="false">C121/D121</f>
        <v>0.130204913192898</v>
      </c>
      <c r="F121" s="29" t="n">
        <f aca="false">E121^(2/3)</f>
        <v>0.256892592500856</v>
      </c>
      <c r="G121" s="29" t="n">
        <f aca="false">C121*F121</f>
        <v>0.00480210266837505</v>
      </c>
    </row>
    <row r="122" customFormat="false" ht="15" hidden="false" customHeight="false" outlineLevel="0" collapsed="false">
      <c r="A122" s="53" t="n">
        <v>0.06</v>
      </c>
      <c r="B122" s="29" t="n">
        <f aca="false">2*ACOS(1-2*A122)</f>
        <v>0.989868252681791</v>
      </c>
      <c r="C122" s="29" t="n">
        <f aca="false">(B122-SIN(B122))/(2*PI())</f>
        <v>0.0244962645902626</v>
      </c>
      <c r="D122" s="29" t="n">
        <f aca="false">B122/(2*PI())</f>
        <v>0.157542425424044</v>
      </c>
      <c r="E122" s="29" t="n">
        <f aca="false">C122/D122</f>
        <v>0.155489954685717</v>
      </c>
      <c r="F122" s="29" t="n">
        <f aca="false">E122^(2/3)</f>
        <v>0.289157786340948</v>
      </c>
      <c r="G122" s="29" t="n">
        <f aca="false">C122*F122</f>
        <v>0.00708328564254249</v>
      </c>
    </row>
    <row r="123" customFormat="false" ht="15" hidden="false" customHeight="false" outlineLevel="0" collapsed="false">
      <c r="A123" s="53" t="n">
        <v>0.07</v>
      </c>
      <c r="B123" s="29" t="n">
        <f aca="false">2*ACOS(1-2*A123)</f>
        <v>1.07105330862878</v>
      </c>
      <c r="C123" s="29" t="n">
        <f aca="false">(B123-SIN(B123))/(2*PI())</f>
        <v>0.0307722218286856</v>
      </c>
      <c r="D123" s="29" t="n">
        <f aca="false">B123/(2*PI())</f>
        <v>0.170463428383199</v>
      </c>
      <c r="E123" s="29" t="n">
        <f aca="false">C123/D123</f>
        <v>0.180520960540053</v>
      </c>
      <c r="F123" s="29" t="n">
        <f aca="false">E123^(2/3)</f>
        <v>0.319412389069192</v>
      </c>
      <c r="G123" s="29" t="n">
        <f aca="false">C123*F123</f>
        <v>0.00982902889126759</v>
      </c>
    </row>
    <row r="124" customFormat="false" ht="15" hidden="false" customHeight="false" outlineLevel="0" collapsed="false">
      <c r="A124" s="53" t="n">
        <v>0.08</v>
      </c>
      <c r="B124" s="29" t="n">
        <f aca="false">2*ACOS(1-2*A124)</f>
        <v>1.14702620884619</v>
      </c>
      <c r="C124" s="29" t="n">
        <f aca="false">(B124-SIN(B124))/(2*PI())</f>
        <v>0.037477974562533</v>
      </c>
      <c r="D124" s="29" t="n">
        <f aca="false">B124/(2*PI())</f>
        <v>0.182554890993828</v>
      </c>
      <c r="E124" s="29" t="n">
        <f aca="false">C124/D124</f>
        <v>0.205297017015008</v>
      </c>
      <c r="F124" s="29" t="n">
        <f aca="false">E124^(2/3)</f>
        <v>0.348007357694606</v>
      </c>
      <c r="G124" s="29" t="n">
        <f aca="false">C124*F124</f>
        <v>0.0130426108992528</v>
      </c>
    </row>
    <row r="125" customFormat="false" ht="15" hidden="false" customHeight="false" outlineLevel="0" collapsed="false">
      <c r="A125" s="53" t="n">
        <v>0.09</v>
      </c>
      <c r="B125" s="29" t="n">
        <f aca="false">2*ACOS(1-2*A125)</f>
        <v>1.21877061606159</v>
      </c>
      <c r="C125" s="29" t="n">
        <f aca="false">(B125-SIN(B125))/(2*PI())</f>
        <v>0.0445784149557488</v>
      </c>
      <c r="D125" s="29" t="n">
        <f aca="false">B125/(2*PI())</f>
        <v>0.193973368041357</v>
      </c>
      <c r="E125" s="29" t="n">
        <f aca="false">C125/D125</f>
        <v>0.229817192977978</v>
      </c>
      <c r="F125" s="29" t="n">
        <f aca="false">E125^(2/3)</f>
        <v>0.375193244846326</v>
      </c>
      <c r="G125" s="29" t="n">
        <f aca="false">C125*F125</f>
        <v>0.0167255201573534</v>
      </c>
    </row>
    <row r="126" customFormat="false" ht="15" hidden="false" customHeight="false" outlineLevel="0" collapsed="false">
      <c r="A126" s="53" t="n">
        <v>0.1</v>
      </c>
      <c r="B126" s="29" t="n">
        <f aca="false">2*ACOS(1-2*A126)</f>
        <v>1.28700221758657</v>
      </c>
      <c r="C126" s="29" t="n">
        <f aca="false">(B126-SIN(B126))/(2*PI())</f>
        <v>0.0520440193309139</v>
      </c>
      <c r="D126" s="29" t="n">
        <f aca="false">B126/(2*PI())</f>
        <v>0.204832764699133</v>
      </c>
      <c r="E126" s="29" t="n">
        <f aca="false">C126/D126</f>
        <v>0.254080539348079</v>
      </c>
      <c r="F126" s="29" t="n">
        <f aca="false">E126^(2/3)</f>
        <v>0.401156901710639</v>
      </c>
      <c r="G126" s="29" t="n">
        <f aca="false">C126*F126</f>
        <v>0.020877817547358</v>
      </c>
    </row>
    <row r="127" customFormat="false" ht="15" hidden="false" customHeight="false" outlineLevel="0" collapsed="false">
      <c r="A127" s="53" t="n">
        <v>0.11</v>
      </c>
      <c r="B127" s="29" t="n">
        <f aca="false">2*ACOS(1-2*A127)</f>
        <v>1.35226101912132</v>
      </c>
      <c r="C127" s="29" t="n">
        <f aca="false">(B127-SIN(B127))/(2*PI())</f>
        <v>0.0598494169873868</v>
      </c>
      <c r="D127" s="29" t="n">
        <f aca="false">B127/(2*PI())</f>
        <v>0.215219025543643</v>
      </c>
      <c r="E127" s="29" t="n">
        <f aca="false">C127/D127</f>
        <v>0.278086088514746</v>
      </c>
      <c r="F127" s="29" t="n">
        <f aca="false">E127^(2/3)</f>
        <v>0.426042419430506</v>
      </c>
      <c r="G127" s="29" t="n">
        <f aca="false">C127*F127</f>
        <v>0.0254983904148115</v>
      </c>
    </row>
    <row r="128" customFormat="false" ht="15" hidden="false" customHeight="false" outlineLevel="0" collapsed="false">
      <c r="A128" s="53" t="n">
        <v>0.12</v>
      </c>
      <c r="B128" s="29" t="n">
        <f aca="false">2*ACOS(1-2*A128)</f>
        <v>1.41496642355869</v>
      </c>
      <c r="C128" s="29" t="n">
        <f aca="false">(B128-SIN(B128))/(2*PI())</f>
        <v>0.0679724268305344</v>
      </c>
      <c r="D128" s="29" t="n">
        <f aca="false">B128/(2*PI())</f>
        <v>0.225198900618425</v>
      </c>
      <c r="E128" s="29" t="n">
        <f aca="false">C128/D128</f>
        <v>0.301832853730073</v>
      </c>
      <c r="F128" s="29" t="n">
        <f aca="false">E128^(2/3)</f>
        <v>0.449963900957443</v>
      </c>
      <c r="G128" s="29" t="n">
        <f aca="false">C128*F128</f>
        <v>0.0305851383342116</v>
      </c>
    </row>
    <row r="129" customFormat="false" ht="15" hidden="false" customHeight="false" outlineLevel="0" collapsed="false">
      <c r="A129" s="53" t="n">
        <v>0.13</v>
      </c>
      <c r="B129" s="29" t="n">
        <f aca="false">2*ACOS(1-2*A129)</f>
        <v>1.4754519369065</v>
      </c>
      <c r="C129" s="29" t="n">
        <f aca="false">(B129-SIN(B129))/(2*PI())</f>
        <v>0.0763933813135593</v>
      </c>
      <c r="D129" s="29" t="n">
        <f aca="false">B129/(2*PI())</f>
        <v>0.23482546905318</v>
      </c>
      <c r="E129" s="29" t="n">
        <f aca="false">C129/D129</f>
        <v>0.32531982847337</v>
      </c>
      <c r="F129" s="29" t="n">
        <f aca="false">E129^(2/3)</f>
        <v>0.473013667625961</v>
      </c>
      <c r="G129" s="29" t="n">
        <f aca="false">C129*F129</f>
        <v>0.0361351134774752</v>
      </c>
    </row>
    <row r="130" customFormat="false" ht="15" hidden="false" customHeight="false" outlineLevel="0" collapsed="false">
      <c r="A130" s="53" t="n">
        <v>0.14</v>
      </c>
      <c r="B130" s="29" t="n">
        <f aca="false">2*ACOS(1-2*A130)</f>
        <v>1.53398801572373</v>
      </c>
      <c r="C130" s="29" t="n">
        <f aca="false">(B130-SIN(B130))/(2*PI())</f>
        <v>0.0850946357596512</v>
      </c>
      <c r="D130" s="29" t="n">
        <f aca="false">B130/(2*PI())</f>
        <v>0.24414177534616</v>
      </c>
      <c r="E130" s="29" t="n">
        <f aca="false">C130/D130</f>
        <v>0.348545985786326</v>
      </c>
      <c r="F130" s="29" t="n">
        <f aca="false">E130^(2/3)</f>
        <v>0.495267758693886</v>
      </c>
      <c r="G130" s="29" t="n">
        <f aca="false">C130*F130</f>
        <v>0.0421446295295551</v>
      </c>
    </row>
    <row r="131" customFormat="false" ht="15" hidden="false" customHeight="false" outlineLevel="0" collapsed="false">
      <c r="A131" s="53" t="n">
        <v>0.15</v>
      </c>
      <c r="B131" s="29" t="n">
        <f aca="false">2*ACOS(1-2*A131)</f>
        <v>1.59079766036829</v>
      </c>
      <c r="C131" s="29" t="n">
        <f aca="false">(B131-SIN(B131))/(2*PI())</f>
        <v>0.0940602021870937</v>
      </c>
      <c r="D131" s="29" t="n">
        <f aca="false">B131/(2*PI())</f>
        <v>0.253183311106635</v>
      </c>
      <c r="E131" s="29" t="n">
        <f aca="false">C131/D131</f>
        <v>0.371510277577015</v>
      </c>
      <c r="F131" s="29" t="n">
        <f aca="false">E131^(2/3)</f>
        <v>0.516789746666741</v>
      </c>
      <c r="G131" s="29" t="n">
        <f aca="false">C131*F131</f>
        <v>0.0486093480596906</v>
      </c>
    </row>
    <row r="132" customFormat="false" ht="15" hidden="false" customHeight="false" outlineLevel="0" collapsed="false">
      <c r="A132" s="53" t="n">
        <v>0.16</v>
      </c>
      <c r="B132" s="29" t="n">
        <f aca="false">2*ACOS(1-2*A132)</f>
        <v>1.64606738426995</v>
      </c>
      <c r="C132" s="29" t="n">
        <f aca="false">(B132-SIN(B132))/(2*PI())</f>
        <v>0.103275469578477</v>
      </c>
      <c r="D132" s="29" t="n">
        <f aca="false">B132/(2*PI())</f>
        <v>0.261979760868909</v>
      </c>
      <c r="E132" s="29" t="n">
        <f aca="false">C132/D132</f>
        <v>0.39421163389089</v>
      </c>
      <c r="F132" s="29" t="n">
        <f aca="false">E132^(2/3)</f>
        <v>0.537633462204942</v>
      </c>
      <c r="G132" s="29" t="n">
        <f aca="false">C132*F132</f>
        <v>0.055524348270318</v>
      </c>
    </row>
    <row r="133" customFormat="false" ht="15" hidden="false" customHeight="false" outlineLevel="0" collapsed="false">
      <c r="A133" s="53" t="n">
        <v>0.17</v>
      </c>
      <c r="B133" s="29" t="n">
        <f aca="false">2*ACOS(1-2*A133)</f>
        <v>1.69995513184961</v>
      </c>
      <c r="C133" s="29" t="n">
        <f aca="false">(B133-SIN(B133))/(2*PI())</f>
        <v>0.112726985876392</v>
      </c>
      <c r="D133" s="29" t="n">
        <f aca="false">B133/(2*PI())</f>
        <v>0.270556262268301</v>
      </c>
      <c r="E133" s="29" t="n">
        <f aca="false">C133/D133</f>
        <v>0.416648962146752</v>
      </c>
      <c r="F133" s="29" t="n">
        <f aca="false">E133^(2/3)</f>
        <v>0.557844988971233</v>
      </c>
      <c r="G133" s="29" t="n">
        <f aca="false">C133*F133</f>
        <v>0.0628841841929762</v>
      </c>
    </row>
    <row r="134" customFormat="false" ht="15" hidden="false" customHeight="false" outlineLevel="0" collapsed="false">
      <c r="A134" s="53" t="n">
        <v>0.18</v>
      </c>
      <c r="B134" s="29" t="n">
        <f aca="false">2*ACOS(1-2*A134)</f>
        <v>1.75259612233668</v>
      </c>
      <c r="C134" s="29" t="n">
        <f aca="false">(B134-SIN(B134))/(2*PI())</f>
        <v>0.122402285125699</v>
      </c>
      <c r="D134" s="29" t="n">
        <f aca="false">B134/(2*PI())</f>
        <v>0.278934336113571</v>
      </c>
      <c r="E134" s="29" t="n">
        <f aca="false">C134/D134</f>
        <v>0.438821146335535</v>
      </c>
      <c r="F134" s="29" t="n">
        <f aca="false">E134^(2/3)</f>
        <v>0.577464155464663</v>
      </c>
      <c r="G134" s="29" t="n">
        <f aca="false">C134*F134</f>
        <v>0.0706829322070564</v>
      </c>
    </row>
    <row r="135" customFormat="false" ht="15" hidden="false" customHeight="false" outlineLevel="0" collapsed="false">
      <c r="A135" s="53" t="n">
        <v>0.19</v>
      </c>
      <c r="B135" s="29" t="n">
        <f aca="false">2*ACOS(1-2*A135)</f>
        <v>1.80410724718505</v>
      </c>
      <c r="C135" s="29" t="n">
        <f aca="false">(B135-SIN(B135))/(2*PI())</f>
        <v>0.132289748328286</v>
      </c>
      <c r="D135" s="29" t="n">
        <f aca="false">B135/(2*PI())</f>
        <v>0.287132586257413</v>
      </c>
      <c r="E135" s="29" t="n">
        <f aca="false">C135/D135</f>
        <v>0.460727046179597</v>
      </c>
      <c r="F135" s="29" t="n">
        <f aca="false">E135^(2/3)</f>
        <v>0.596525671569792</v>
      </c>
      <c r="G135" s="29" t="n">
        <f aca="false">C135*F135</f>
        <v>0.0789142309633295</v>
      </c>
    </row>
    <row r="136" customFormat="false" ht="15" hidden="false" customHeight="false" outlineLevel="0" collapsed="false">
      <c r="A136" s="53" t="n">
        <v>0.2</v>
      </c>
      <c r="B136" s="29" t="n">
        <f aca="false">2*ACOS(1-2*A136)</f>
        <v>1.85459043600322</v>
      </c>
      <c r="C136" s="29" t="n">
        <f aca="false">(B136-SIN(B136))/(2*PI())</f>
        <v>0.142378489932647</v>
      </c>
      <c r="D136" s="29" t="n">
        <f aca="false">B136/(2*PI())</f>
        <v>0.295167235300867</v>
      </c>
      <c r="E136" s="29" t="n">
        <f aca="false">C136/D136</f>
        <v>0.482365496250014</v>
      </c>
      <c r="F136" s="29" t="n">
        <f aca="false">E136^(2/3)</f>
        <v>0.615060008661853</v>
      </c>
      <c r="G136" s="29" t="n">
        <f aca="false">C136*F136</f>
        <v>0.0875713152512355</v>
      </c>
    </row>
    <row r="137" customFormat="false" ht="15" hidden="false" customHeight="false" outlineLevel="0" collapsed="false">
      <c r="A137" s="53" t="n">
        <v>0.21</v>
      </c>
      <c r="B137" s="29" t="n">
        <f aca="false">2*ACOS(1-2*A137)</f>
        <v>1.90413527224529</v>
      </c>
      <c r="C137" s="29" t="n">
        <f aca="false">(B137-SIN(B137))/(2*PI())</f>
        <v>0.152658264129876</v>
      </c>
      <c r="D137" s="29" t="n">
        <f aca="false">B137/(2*PI())</f>
        <v>0.30305254089347</v>
      </c>
      <c r="E137" s="29" t="n">
        <f aca="false">C137/D137</f>
        <v>0.503735305039196</v>
      </c>
      <c r="F137" s="29" t="n">
        <f aca="false">E137^(2/3)</f>
        <v>0.633094091036538</v>
      </c>
      <c r="G137" s="29" t="n">
        <f aca="false">C137*F137</f>
        <v>0.0966470449685193</v>
      </c>
    </row>
    <row r="138" customFormat="false" ht="15" hidden="false" customHeight="false" outlineLevel="0" collapsed="false">
      <c r="A138" s="53" t="n">
        <v>0.22</v>
      </c>
      <c r="B138" s="29" t="n">
        <f aca="false">2*ACOS(1-2*A138)</f>
        <v>1.95282105358767</v>
      </c>
      <c r="C138" s="29" t="n">
        <f aca="false">(B138-SIN(B138))/(2*PI())</f>
        <v>0.163119386671219</v>
      </c>
      <c r="D138" s="29" t="n">
        <f aca="false">B138/(2*PI())</f>
        <v>0.310801123652401</v>
      </c>
      <c r="E138" s="29" t="n">
        <f aca="false">C138/D138</f>
        <v>0.524835253985928</v>
      </c>
      <c r="F138" s="29" t="n">
        <f aca="false">E138^(2/3)</f>
        <v>0.650651846144284</v>
      </c>
      <c r="G138" s="29" t="n">
        <f aca="false">C138*F138</f>
        <v>0.106133930079552</v>
      </c>
    </row>
    <row r="139" customFormat="false" ht="15" hidden="false" customHeight="false" outlineLevel="0" collapsed="false">
      <c r="A139" s="53" t="n">
        <v>0.23</v>
      </c>
      <c r="B139" s="29" t="n">
        <f aca="false">2*ACOS(1-2*A139)</f>
        <v>2.00071843478995</v>
      </c>
      <c r="C139" s="29" t="n">
        <f aca="false">(B139-SIN(B139))/(2*PI())</f>
        <v>0.173752669004118</v>
      </c>
      <c r="D139" s="29" t="n">
        <f aca="false">B139/(2*PI())</f>
        <v>0.3184242286319</v>
      </c>
      <c r="E139" s="29" t="n">
        <f aca="false">C139/D139</f>
        <v>0.545664096449699</v>
      </c>
      <c r="F139" s="29" t="n">
        <f aca="false">E139^(2/3)</f>
        <v>0.667754647540687</v>
      </c>
      <c r="G139" s="29" t="n">
        <f aca="false">C139*F139</f>
        <v>0.116024152250099</v>
      </c>
    </row>
    <row r="140" customFormat="false" ht="15" hidden="false" customHeight="false" outlineLevel="0" collapsed="false">
      <c r="A140" s="53" t="n">
        <v>0.24</v>
      </c>
      <c r="B140" s="29" t="n">
        <f aca="false">2*ACOS(1-2*A140)</f>
        <v>2.04789075219791</v>
      </c>
      <c r="C140" s="29" t="n">
        <f aca="false">(B140-SIN(B140))/(2*PI())</f>
        <v>0.184549362296209</v>
      </c>
      <c r="D140" s="29" t="n">
        <f aca="false">B140/(2*PI())</f>
        <v>0.325931936124476</v>
      </c>
      <c r="E140" s="29" t="n">
        <f aca="false">C140/D140</f>
        <v>0.566220556630963</v>
      </c>
      <c r="F140" s="29" t="n">
        <f aca="false">E140^(2/3)</f>
        <v>0.684421675195246</v>
      </c>
      <c r="G140" s="29" t="n">
        <f aca="false">C140*F140</f>
        <v>0.126309583698985</v>
      </c>
    </row>
    <row r="141" customFormat="false" ht="15" hidden="false" customHeight="false" outlineLevel="0" collapsed="false">
      <c r="A141" s="53" t="n">
        <v>0.25</v>
      </c>
      <c r="B141" s="29" t="n">
        <f aca="false">2*ACOS(1-2*A141)</f>
        <v>2.0943951023932</v>
      </c>
      <c r="C141" s="29" t="n">
        <f aca="false">(B141-SIN(B141))/(2*PI())</f>
        <v>0.195501109477885</v>
      </c>
      <c r="D141" s="29" t="n">
        <f aca="false">B141/(2*PI())</f>
        <v>0.333333333333333</v>
      </c>
      <c r="E141" s="29" t="n">
        <f aca="false">C141/D141</f>
        <v>0.586503328433656</v>
      </c>
      <c r="F141" s="29" t="n">
        <f aca="false">E141^(2/3)</f>
        <v>0.700670211345503</v>
      </c>
      <c r="G141" s="29" t="n">
        <f aca="false">C141*F141</f>
        <v>0.13698180369615</v>
      </c>
    </row>
    <row r="142" customFormat="false" ht="15" hidden="false" customHeight="false" outlineLevel="0" collapsed="false">
      <c r="A142" s="53" t="n">
        <v>0.26</v>
      </c>
      <c r="B142" s="29" t="n">
        <f aca="false">2*ACOS(1-2*A142)</f>
        <v>2.14028322878062</v>
      </c>
      <c r="C142" s="29" t="n">
        <f aca="false">(B142-SIN(B142))/(2*PI())</f>
        <v>0.206599903847814</v>
      </c>
      <c r="D142" s="29" t="n">
        <f aca="false">B142/(2*PI())</f>
        <v>0.340636655477117</v>
      </c>
      <c r="E142" s="29" t="n">
        <f aca="false">C142/D142</f>
        <v>0.606511074266032</v>
      </c>
      <c r="F142" s="29" t="n">
        <f aca="false">E142^(2/3)</f>
        <v>0.716515885509918</v>
      </c>
      <c r="G142" s="29" t="n">
        <f aca="false">C142*F142</f>
        <v>0.148032113051781</v>
      </c>
    </row>
    <row r="143" customFormat="false" ht="15" hidden="false" customHeight="false" outlineLevel="0" collapsed="false">
      <c r="A143" s="53" t="n">
        <v>0.27</v>
      </c>
      <c r="B143" s="29" t="n">
        <f aca="false">2*ACOS(1-2*A143)</f>
        <v>2.18560225655189</v>
      </c>
      <c r="C143" s="29" t="n">
        <f aca="false">(B143-SIN(B143))/(2*PI())</f>
        <v>0.217838053095192</v>
      </c>
      <c r="D143" s="29" t="n">
        <f aca="false">B143/(2*PI())</f>
        <v>0.347849402763034</v>
      </c>
      <c r="E143" s="29" t="n">
        <f aca="false">C143/D143</f>
        <v>0.626242423775528</v>
      </c>
      <c r="F143" s="29" t="n">
        <f aca="false">E143^(2/3)</f>
        <v>0.731972878980785</v>
      </c>
      <c r="G143" s="29" t="n">
        <f aca="false">C143*F143</f>
        <v>0.159451546875657</v>
      </c>
    </row>
    <row r="144" customFormat="false" ht="15" hidden="false" customHeight="false" outlineLevel="0" collapsed="false">
      <c r="A144" s="53" t="n">
        <v>0.28</v>
      </c>
      <c r="B144" s="29" t="n">
        <f aca="false">2*ACOS(1-2*A144)</f>
        <v>2.23039530679815</v>
      </c>
      <c r="C144" s="29" t="n">
        <f aca="false">(B144-SIN(B144))/(2*PI())</f>
        <v>0.229208147826847</v>
      </c>
      <c r="D144" s="29" t="n">
        <f aca="false">B144/(2*PI())</f>
        <v>0.35497843812589</v>
      </c>
      <c r="E144" s="29" t="n">
        <f aca="false">C144/D144</f>
        <v>0.645695972513013</v>
      </c>
      <c r="F144" s="29" t="n">
        <f aca="false">E144^(2/3)</f>
        <v>0.747054096714798</v>
      </c>
      <c r="G144" s="29" t="n">
        <f aca="false">C144*F144</f>
        <v>0.171230885834457</v>
      </c>
    </row>
    <row r="145" customFormat="false" ht="15" hidden="false" customHeight="false" outlineLevel="0" collapsed="false">
      <c r="A145" s="53" t="n">
        <v>0.29</v>
      </c>
      <c r="B145" s="29" t="n">
        <f aca="false">2*ACOS(1-2*A145)</f>
        <v>2.27470201345002</v>
      </c>
      <c r="C145" s="29" t="n">
        <f aca="false">(B145-SIN(B145))/(2*PI())</f>
        <v>0.240703033866738</v>
      </c>
      <c r="D145" s="29" t="n">
        <f aca="false">B145/(2*PI())</f>
        <v>0.362030069501658</v>
      </c>
      <c r="E145" s="29" t="n">
        <f aca="false">C145/D145</f>
        <v>0.664870280521369</v>
      </c>
      <c r="F145" s="29" t="n">
        <f aca="false">E145^(2/3)</f>
        <v>0.761771312760562</v>
      </c>
      <c r="G145" s="29" t="n">
        <f aca="false">C145*F145</f>
        <v>0.183360666094115</v>
      </c>
    </row>
    <row r="146" customFormat="false" ht="15" hidden="false" customHeight="false" outlineLevel="0" collapsed="false">
      <c r="A146" s="53" t="n">
        <v>0.3</v>
      </c>
      <c r="B146" s="29" t="n">
        <f aca="false">2*ACOS(1-2*A146)</f>
        <v>2.31855896145482</v>
      </c>
      <c r="C146" s="29" t="n">
        <f aca="false">(B146-SIN(B146))/(2*PI())</f>
        <v>0.252315787734345</v>
      </c>
      <c r="D146" s="29" t="n">
        <f aca="false">B146/(2*PI())</f>
        <v>0.369010119565545</v>
      </c>
      <c r="E146" s="29" t="n">
        <f aca="false">C146/D146</f>
        <v>0.683763870842919</v>
      </c>
      <c r="F146" s="29" t="n">
        <f aca="false">E146^(2/3)</f>
        <v>0.776135294030758</v>
      </c>
      <c r="G146" s="29" t="n">
        <f aca="false">C146*F146</f>
        <v>0.195831188101799</v>
      </c>
    </row>
    <row r="147" customFormat="false" ht="15" hidden="false" customHeight="false" outlineLevel="0" collapsed="false">
      <c r="A147" s="53" t="n">
        <v>0.31</v>
      </c>
      <c r="B147" s="29" t="n">
        <f aca="false">2*ACOS(1-2*A147)</f>
        <v>2.36200006064127</v>
      </c>
      <c r="C147" s="29" t="n">
        <f aca="false">(B147-SIN(B147))/(2*PI())</f>
        <v>0.264039694817033</v>
      </c>
      <c r="D147" s="29" t="n">
        <f aca="false">B147/(2*PI())</f>
        <v>0.375923985234415</v>
      </c>
      <c r="E147" s="29" t="n">
        <f aca="false">C147/D147</f>
        <v>0.702375227939728</v>
      </c>
      <c r="F147" s="29" t="n">
        <f aca="false">E147^(2/3)</f>
        <v>0.790155906218341</v>
      </c>
      <c r="G147" s="29" t="n">
        <f aca="false">C147*F147</f>
        <v>0.208632524335767</v>
      </c>
    </row>
    <row r="148" customFormat="false" ht="15" hidden="false" customHeight="false" outlineLevel="0" collapsed="false">
      <c r="A148" s="53" t="n">
        <v>0.32</v>
      </c>
      <c r="B148" s="29" t="n">
        <f aca="false">2*ACOS(1-2*A148)</f>
        <v>2.40505686671651</v>
      </c>
      <c r="C148" s="29" t="n">
        <f aca="false">(B148-SIN(B148))/(2*PI())</f>
        <v>0.275868229837136</v>
      </c>
      <c r="D148" s="29" t="n">
        <f aca="false">B148/(2*PI())</f>
        <v>0.382776688755039</v>
      </c>
      <c r="E148" s="29" t="n">
        <f aca="false">C148/D148</f>
        <v>0.720702796020267</v>
      </c>
      <c r="F148" s="29" t="n">
        <f aca="false">E148^(2/3)</f>
        <v>0.803842204884704</v>
      </c>
      <c r="G148" s="29" t="n">
        <f aca="false">C148*F148</f>
        <v>0.221754526129924</v>
      </c>
    </row>
    <row r="149" customFormat="false" ht="15" hidden="false" customHeight="false" outlineLevel="0" collapsed="false">
      <c r="A149" s="53" t="n">
        <v>0.33</v>
      </c>
      <c r="B149" s="29" t="n">
        <f aca="false">2*ACOS(1-2*A149)</f>
        <v>2.44775885853547</v>
      </c>
      <c r="C149" s="29" t="n">
        <f aca="false">(B149-SIN(B149))/(2*PI())</f>
        <v>0.28779503928263</v>
      </c>
      <c r="D149" s="29" t="n">
        <f aca="false">B149/(2*PI())</f>
        <v>0.389572921832895</v>
      </c>
      <c r="E149" s="29" t="n">
        <f aca="false">C149/D149</f>
        <v>0.738744977265329</v>
      </c>
      <c r="F149" s="29" t="n">
        <f aca="false">E149^(2/3)</f>
        <v>0.817202514151833</v>
      </c>
      <c r="G149" s="29" t="n">
        <f aca="false">C149*F149</f>
        <v>0.235186829662191</v>
      </c>
    </row>
    <row r="150" customFormat="false" ht="15" hidden="false" customHeight="false" outlineLevel="0" collapsed="false">
      <c r="A150" s="53" t="n">
        <v>0.34</v>
      </c>
      <c r="B150" s="29" t="n">
        <f aca="false">2*ACOS(1-2*A150)</f>
        <v>2.49013367900053</v>
      </c>
      <c r="C150" s="29" t="n">
        <f aca="false">(B150-SIN(B150))/(2*PI())</f>
        <v>0.299813925524821</v>
      </c>
      <c r="D150" s="29" t="n">
        <f aca="false">B150/(2*PI())</f>
        <v>0.396317083972542</v>
      </c>
      <c r="E150" s="29" t="n">
        <f aca="false">C150/D150</f>
        <v>0.756500129945428</v>
      </c>
      <c r="F150" s="29" t="n">
        <f aca="false">E150^(2/3)</f>
        <v>0.830244494965956</v>
      </c>
      <c r="G150" s="29" t="n">
        <f aca="false">C150*F150</f>
        <v>0.248918861181116</v>
      </c>
    </row>
    <row r="151" customFormat="false" ht="15" hidden="false" customHeight="false" outlineLevel="0" collapsed="false">
      <c r="A151" s="53" t="n">
        <v>0.35</v>
      </c>
      <c r="B151" s="29" t="n">
        <f aca="false">2*ACOS(1-2*A151)</f>
        <v>2.532207345559</v>
      </c>
      <c r="C151" s="29" t="n">
        <f aca="false">(B151-SIN(B151))/(2*PI())</f>
        <v>0.311918832390536</v>
      </c>
      <c r="D151" s="29" t="n">
        <f aca="false">B151/(2*PI())</f>
        <v>0.403013315979322</v>
      </c>
      <c r="E151" s="29" t="n">
        <f aca="false">C151/D151</f>
        <v>0.773966566421197</v>
      </c>
      <c r="F151" s="29" t="n">
        <f aca="false">E151^(2/3)</f>
        <v>0.842975204535087</v>
      </c>
      <c r="G151" s="29" t="n">
        <f aca="false">C151*F151</f>
        <v>0.262939841532758</v>
      </c>
    </row>
    <row r="152" customFormat="false" ht="15" hidden="false" customHeight="false" outlineLevel="0" collapsed="false">
      <c r="A152" s="53" t="n">
        <v>0.36</v>
      </c>
      <c r="B152" s="29" t="n">
        <f aca="false">2*ACOS(1-2*A152)</f>
        <v>2.57400443517314</v>
      </c>
      <c r="C152" s="29" t="n">
        <f aca="false">(B152-SIN(B152))/(2*PI())</f>
        <v>0.324103831992064</v>
      </c>
      <c r="D152" s="29" t="n">
        <f aca="false">B152/(2*PI())</f>
        <v>0.409665529398267</v>
      </c>
      <c r="E152" s="29" t="n">
        <f aca="false">C152/D152</f>
        <v>0.791142551017462</v>
      </c>
      <c r="F152" s="29" t="n">
        <f aca="false">E152^(2/3)</f>
        <v>0.855401148253601</v>
      </c>
      <c r="G152" s="29" t="n">
        <f aca="false">C152*F152</f>
        <v>0.277238790039404</v>
      </c>
    </row>
    <row r="153" customFormat="false" ht="15" hidden="false" customHeight="false" outlineLevel="0" collapsed="false">
      <c r="A153" s="53" t="n">
        <v>0.37</v>
      </c>
      <c r="B153" s="29" t="n">
        <f aca="false">2*ACOS(1-2*A153)</f>
        <v>2.61554824777286</v>
      </c>
      <c r="C153" s="29" t="n">
        <f aca="false">(B153-SIN(B153))/(2*PI())</f>
        <v>0.336363112647284</v>
      </c>
      <c r="D153" s="29" t="n">
        <f aca="false">B153/(2*PI())</f>
        <v>0.416277432528395</v>
      </c>
      <c r="E153" s="29" t="n">
        <f aca="false">C153/D153</f>
        <v>0.808026297760784</v>
      </c>
      <c r="F153" s="29" t="n">
        <f aca="false">E153^(2/3)</f>
        <v>0.867528325196044</v>
      </c>
      <c r="G153" s="29" t="n">
        <f aca="false">C153*F153</f>
        <v>0.291804527772627</v>
      </c>
    </row>
    <row r="154" customFormat="false" ht="15" hidden="false" customHeight="false" outlineLevel="0" collapsed="false">
      <c r="A154" s="53" t="n">
        <v>0.38</v>
      </c>
      <c r="B154" s="29" t="n">
        <f aca="false">2*ACOS(1-2*A154)</f>
        <v>2.65686095151187</v>
      </c>
      <c r="C154" s="29" t="n">
        <f aca="false">(B154-SIN(B154))/(2*PI())</f>
        <v>0.348690967746433</v>
      </c>
      <c r="D154" s="29" t="n">
        <f aca="false">B154/(2*PI())</f>
        <v>0.42285255354095</v>
      </c>
      <c r="E154" s="29" t="n">
        <f aca="false">C154/D154</f>
        <v>0.824615967969235</v>
      </c>
      <c r="F154" s="29" t="n">
        <f aca="false">E154^(2/3)</f>
        <v>0.879362268076752</v>
      </c>
      <c r="G154" s="29" t="n">
        <f aca="false">C154*F154</f>
        <v>0.306625680255381</v>
      </c>
    </row>
    <row r="155" customFormat="false" ht="15" hidden="false" customHeight="false" outlineLevel="0" collapsed="false">
      <c r="A155" s="53" t="n">
        <v>0.39</v>
      </c>
      <c r="B155" s="29" t="n">
        <f aca="false">2*ACOS(1-2*A155)</f>
        <v>2.6979637125962</v>
      </c>
      <c r="C155" s="29" t="n">
        <f aca="false">(B155-SIN(B155))/(2*PI())</f>
        <v>0.361081785441714</v>
      </c>
      <c r="D155" s="29" t="n">
        <f aca="false">B155/(2*PI())</f>
        <v>0.429394261142248</v>
      </c>
      <c r="E155" s="29" t="n">
        <f aca="false">C155/D155</f>
        <v>0.840909667682067</v>
      </c>
      <c r="F155" s="29" t="n">
        <f aca="false">E155^(2/3)</f>
        <v>0.890908078421587</v>
      </c>
      <c r="G155" s="29" t="n">
        <f aca="false">C155*F155</f>
        <v>0.321690679620913</v>
      </c>
    </row>
    <row r="156" customFormat="false" ht="15" hidden="false" customHeight="false" outlineLevel="0" collapsed="false">
      <c r="A156" s="53" t="n">
        <v>0.4</v>
      </c>
      <c r="B156" s="29" t="n">
        <f aca="false">2*ACOS(1-2*A156)</f>
        <v>2.73887681200913</v>
      </c>
      <c r="C156" s="29" t="n">
        <f aca="false">(B156-SIN(B156))/(2*PI())</f>
        <v>0.373530039052331</v>
      </c>
      <c r="D156" s="29" t="n">
        <f aca="false">B156/(2*PI())</f>
        <v>0.435905783151025</v>
      </c>
      <c r="E156" s="29" t="n">
        <f aca="false">C156/D156</f>
        <v>0.856905444915643</v>
      </c>
      <c r="F156" s="29" t="n">
        <f aca="false">E156^(2/3)</f>
        <v>0.902170457575663</v>
      </c>
      <c r="G156" s="29" t="n">
        <f aca="false">C156*F156</f>
        <v>0.336987766250097</v>
      </c>
    </row>
    <row r="157" customFormat="false" ht="15" hidden="false" customHeight="false" outlineLevel="0" collapsed="false">
      <c r="A157" s="53" t="n">
        <v>0.41</v>
      </c>
      <c r="B157" s="29" t="n">
        <f aca="false">2*ACOS(1-2*A157)</f>
        <v>2.7796197510967</v>
      </c>
      <c r="C157" s="29" t="n">
        <f aca="false">(B157-SIN(B157))/(2*PI())</f>
        <v>0.386030278091154</v>
      </c>
      <c r="D157" s="29" t="n">
        <f aca="false">B157/(2*PI())</f>
        <v>0.442390223302903</v>
      </c>
      <c r="E157" s="29" t="n">
        <f aca="false">C157/D157</f>
        <v>0.872601286730607</v>
      </c>
      <c r="F157" s="29" t="n">
        <f aca="false">E157^(2/3)</f>
        <v>0.913153734070526</v>
      </c>
      <c r="G157" s="29" t="n">
        <f aca="false">C157*F157</f>
        <v>0.352504989903221</v>
      </c>
    </row>
    <row r="158" customFormat="false" ht="15" hidden="false" customHeight="false" outlineLevel="0" collapsed="false">
      <c r="A158" s="53" t="n">
        <v>0.42</v>
      </c>
      <c r="B158" s="29" t="n">
        <f aca="false">2*ACOS(1-2*A158)</f>
        <v>2.82021134768597</v>
      </c>
      <c r="C158" s="29" t="n">
        <f aca="false">(B158-SIN(B158))/(2*PI())</f>
        <v>0.398577119830522</v>
      </c>
      <c r="D158" s="29" t="n">
        <f aca="false">B158/(2*PI())</f>
        <v>0.448850576548078</v>
      </c>
      <c r="E158" s="29" t="n">
        <f aca="false">C158/D158</f>
        <v>0.887995116093671</v>
      </c>
      <c r="F158" s="29" t="n">
        <f aca="false">E158^(2/3)</f>
        <v>0.92386188779141</v>
      </c>
      <c r="G158" s="29" t="n">
        <f aca="false">C158*F158</f>
        <v>0.368230210357089</v>
      </c>
    </row>
    <row r="159" customFormat="false" ht="15" hidden="false" customHeight="false" outlineLevel="0" collapsed="false">
      <c r="A159" s="53" t="n">
        <v>0.43</v>
      </c>
      <c r="B159" s="29" t="n">
        <f aca="false">2*ACOS(1-2*A159)</f>
        <v>2.86066982417008</v>
      </c>
      <c r="C159" s="29" t="n">
        <f aca="false">(B159-SIN(B159))/(2*PI())</f>
        <v>0.411165241334134</v>
      </c>
      <c r="D159" s="29" t="n">
        <f aca="false">B159/(2*PI())</f>
        <v>0.455289743070492</v>
      </c>
      <c r="E159" s="29" t="n">
        <f aca="false">C159/D159</f>
        <v>0.903084788515595</v>
      </c>
      <c r="F159" s="29" t="n">
        <f aca="false">E159^(2/3)</f>
        <v>0.934298571316383</v>
      </c>
      <c r="G159" s="29" t="n">
        <f aca="false">C159*F159</f>
        <v>0.384151097553438</v>
      </c>
    </row>
    <row r="160" customFormat="false" ht="15" hidden="false" customHeight="false" outlineLevel="0" collapsed="false">
      <c r="A160" s="53" t="n">
        <v>0.44</v>
      </c>
      <c r="B160" s="29" t="n">
        <f aca="false">2*ACOS(1-2*A160)</f>
        <v>2.90101288880022</v>
      </c>
      <c r="C160" s="29" t="n">
        <f aca="false">(B160-SIN(B160))/(2*PI())</f>
        <v>0.423789371889853</v>
      </c>
      <c r="D160" s="29" t="n">
        <f aca="false">B160/(2*PI())</f>
        <v>0.461710541225854</v>
      </c>
      <c r="E160" s="29" t="n">
        <f aca="false">C160/D160</f>
        <v>0.917868088444941</v>
      </c>
      <c r="F160" s="29" t="n">
        <f aca="false">E160^(2/3)</f>
        <v>0.94446712874167</v>
      </c>
      <c r="G160" s="29" t="n">
        <f aca="false">C160*F160</f>
        <v>0.400255131260046</v>
      </c>
    </row>
    <row r="161" customFormat="false" ht="15" hidden="false" customHeight="false" outlineLevel="0" collapsed="false">
      <c r="A161" s="53" t="n">
        <v>0.45</v>
      </c>
      <c r="B161" s="29" t="n">
        <f aca="false">2*ACOS(1-2*A161)</f>
        <v>2.94125781126667</v>
      </c>
      <c r="C161" s="29" t="n">
        <f aca="false">(B161-SIN(B161))/(2*PI())</f>
        <v>0.436444285784769</v>
      </c>
      <c r="D161" s="29" t="n">
        <f aca="false">B161/(2*PI())</f>
        <v>0.46811571957074</v>
      </c>
      <c r="E161" s="29" t="n">
        <f aca="false">C161/D161</f>
        <v>0.93234272539488</v>
      </c>
      <c r="F161" s="29" t="n">
        <f aca="false">E161^(2/3)</f>
        <v>0.954370612259054</v>
      </c>
      <c r="G161" s="29" t="n">
        <f aca="false">C161*F161</f>
        <v>0.416529600241376</v>
      </c>
    </row>
    <row r="162" customFormat="false" ht="15" hidden="false" customHeight="false" outlineLevel="0" collapsed="false">
      <c r="A162" s="53" t="n">
        <v>0.46</v>
      </c>
      <c r="B162" s="29" t="n">
        <f aca="false">2*ACOS(1-2*A162)</f>
        <v>2.98142149352248</v>
      </c>
      <c r="C162" s="29" t="n">
        <f aca="false">(B162-SIN(B162))/(2*PI())</f>
        <v>0.449124795369304</v>
      </c>
      <c r="D162" s="29" t="n">
        <f aca="false">B162/(2*PI())</f>
        <v>0.474507968134523</v>
      </c>
      <c r="E162" s="29" t="n">
        <f aca="false">C162/D162</f>
        <v>0.946506329777748</v>
      </c>
      <c r="F162" s="29" t="n">
        <f aca="false">E162^(2/3)</f>
        <v>0.964011796710228</v>
      </c>
      <c r="G162" s="29" t="n">
        <f aca="false">C162*F162</f>
        <v>0.432961600931076</v>
      </c>
    </row>
    <row r="163" customFormat="false" ht="15" hidden="false" customHeight="false" outlineLevel="0" collapsed="false">
      <c r="A163" s="53" t="n">
        <v>0.47</v>
      </c>
      <c r="B163" s="29" t="n">
        <f aca="false">2*ACOS(1-2*A163)</f>
        <v>3.02152053669924</v>
      </c>
      <c r="C163" s="29" t="n">
        <f aca="false">(B163-SIN(B163))/(2*PI())</f>
        <v>0.461825744361578</v>
      </c>
      <c r="D163" s="29" t="n">
        <f aca="false">B163/(2*PI())</f>
        <v>0.48088992906936</v>
      </c>
      <c r="E163" s="29" t="n">
        <f aca="false">C163/D163</f>
        <v>0.960356448419131</v>
      </c>
      <c r="F163" s="29" t="n">
        <f aca="false">E163^(2/3)</f>
        <v>0.973393192307923</v>
      </c>
      <c r="G163" s="29" t="n">
        <f aca="false">C163*F163</f>
        <v>0.4495380355941</v>
      </c>
    </row>
    <row r="164" customFormat="false" ht="15" hidden="false" customHeight="false" outlineLevel="0" collapsed="false">
      <c r="A164" s="53" t="n">
        <v>0.48</v>
      </c>
      <c r="B164" s="29" t="n">
        <f aca="false">2*ACOS(1-2*A164)</f>
        <v>3.06157130488182</v>
      </c>
      <c r="C164" s="29" t="n">
        <f aca="false">(B164-SIN(B164))/(2*PI())</f>
        <v>0.474542001346881</v>
      </c>
      <c r="D164" s="29" t="n">
        <f aca="false">B164/(2*PI())</f>
        <v>0.487264206800245</v>
      </c>
      <c r="E164" s="29" t="n">
        <f aca="false">C164/D164</f>
        <v>0.973890539719902</v>
      </c>
      <c r="F164" s="29" t="n">
        <f aca="false">E164^(2/3)</f>
        <v>0.982517055683451</v>
      </c>
      <c r="G164" s="29" t="n">
        <f aca="false">C164*F164</f>
        <v>0.466245609961469</v>
      </c>
    </row>
    <row r="165" customFormat="false" ht="15" hidden="false" customHeight="false" outlineLevel="0" collapsed="false">
      <c r="A165" s="53" t="n">
        <v>0.49</v>
      </c>
      <c r="B165" s="29" t="n">
        <f aca="false">2*ACOS(1-2*A165)</f>
        <v>3.10158998644301</v>
      </c>
      <c r="C165" s="29" t="n">
        <f aca="false">(B165-SIN(B165))/(2*PI())</f>
        <v>0.487268453429948</v>
      </c>
      <c r="D165" s="29" t="n">
        <f aca="false">B165/(2*PI())</f>
        <v>0.49363337778673</v>
      </c>
      <c r="E165" s="29" t="n">
        <f aca="false">C165/D165</f>
        <v>0.987105968430823</v>
      </c>
      <c r="F165" s="29" t="n">
        <f aca="false">E165^(2/3)</f>
        <v>0.991385399394012</v>
      </c>
      <c r="G165" s="29" t="n">
        <f aca="false">C165*F165</f>
        <v>0.483070830315752</v>
      </c>
    </row>
    <row r="166" customFormat="false" ht="15" hidden="false" customHeight="false" outlineLevel="0" collapsed="false">
      <c r="A166" s="53" t="n">
        <v>0.5</v>
      </c>
      <c r="B166" s="29" t="n">
        <f aca="false">2*ACOS(1-2*A166)</f>
        <v>3.14159265358979</v>
      </c>
      <c r="C166" s="29" t="n">
        <f aca="false">(B166-SIN(B166))/(2*PI())</f>
        <v>0.5</v>
      </c>
      <c r="D166" s="29" t="n">
        <f aca="false">B166/(2*PI())</f>
        <v>0.5</v>
      </c>
      <c r="E166" s="29" t="n">
        <f aca="false">C166/D166</f>
        <v>1</v>
      </c>
      <c r="F166" s="29" t="n">
        <f aca="false">E166^(2/3)</f>
        <v>1</v>
      </c>
      <c r="G166" s="29" t="n">
        <f aca="false">C166*F166</f>
        <v>0.5</v>
      </c>
    </row>
    <row r="167" customFormat="false" ht="15" hidden="false" customHeight="false" outlineLevel="0" collapsed="false">
      <c r="A167" s="53" t="n">
        <v>0.51</v>
      </c>
      <c r="B167" s="29" t="n">
        <f aca="false">2*ACOS(1-2*A167)</f>
        <v>3.18159532073657</v>
      </c>
      <c r="C167" s="29" t="n">
        <f aca="false">(B167-SIN(B167))/(2*PI())</f>
        <v>0.512731546570052</v>
      </c>
      <c r="D167" s="29" t="n">
        <f aca="false">B167/(2*PI())</f>
        <v>0.50636662221327</v>
      </c>
      <c r="E167" s="29" t="n">
        <f aca="false">C167/D167</f>
        <v>1.01256979444846</v>
      </c>
      <c r="F167" s="29" t="n">
        <f aca="false">E167^(2/3)</f>
        <v>1.00836240480192</v>
      </c>
      <c r="G167" s="29" t="n">
        <f aca="false">C167*F167</f>
        <v>0.517019215317187</v>
      </c>
    </row>
    <row r="168" customFormat="false" ht="15" hidden="false" customHeight="false" outlineLevel="0" collapsed="false">
      <c r="A168" s="53" t="n">
        <v>0.52</v>
      </c>
      <c r="B168" s="29" t="n">
        <f aca="false">2*ACOS(1-2*A168)</f>
        <v>3.22161400229777</v>
      </c>
      <c r="C168" s="29" t="n">
        <f aca="false">(B168-SIN(B168))/(2*PI())</f>
        <v>0.525457998653119</v>
      </c>
      <c r="D168" s="29" t="n">
        <f aca="false">B168/(2*PI())</f>
        <v>0.512735793199755</v>
      </c>
      <c r="E168" s="29" t="n">
        <f aca="false">C168/D168</f>
        <v>1.0248123997234</v>
      </c>
      <c r="F168" s="29" t="n">
        <f aca="false">E168^(2/3)</f>
        <v>1.01647393730788</v>
      </c>
      <c r="G168" s="29" t="n">
        <f aca="false">C168*F168</f>
        <v>0.534114360780857</v>
      </c>
    </row>
    <row r="169" customFormat="false" ht="15" hidden="false" customHeight="false" outlineLevel="0" collapsed="false">
      <c r="A169" s="53" t="n">
        <v>0.53</v>
      </c>
      <c r="B169" s="29" t="n">
        <f aca="false">2*ACOS(1-2*A169)</f>
        <v>3.26166477048035</v>
      </c>
      <c r="C169" s="29" t="n">
        <f aca="false">(B169-SIN(B169))/(2*PI())</f>
        <v>0.538174255638422</v>
      </c>
      <c r="D169" s="29" t="n">
        <f aca="false">B169/(2*PI())</f>
        <v>0.51911007093064</v>
      </c>
      <c r="E169" s="29" t="n">
        <f aca="false">C169/D169</f>
        <v>1.03672474447202</v>
      </c>
      <c r="F169" s="29" t="n">
        <f aca="false">E169^(2/3)</f>
        <v>1.02433570148538</v>
      </c>
      <c r="G169" s="29" t="n">
        <f aca="false">C169*F169</f>
        <v>0.551271103670757</v>
      </c>
    </row>
    <row r="170" customFormat="false" ht="15" hidden="false" customHeight="false" outlineLevel="0" collapsed="false">
      <c r="A170" s="53" t="n">
        <v>0.54</v>
      </c>
      <c r="B170" s="29" t="n">
        <f aca="false">2*ACOS(1-2*A170)</f>
        <v>3.30176381365711</v>
      </c>
      <c r="C170" s="29" t="n">
        <f aca="false">(B170-SIN(B170))/(2*PI())</f>
        <v>0.550875204630696</v>
      </c>
      <c r="D170" s="29" t="n">
        <f aca="false">B170/(2*PI())</f>
        <v>0.525492031865477</v>
      </c>
      <c r="E170" s="29" t="n">
        <f aca="false">C170/D170</f>
        <v>1.04830363017135</v>
      </c>
      <c r="F170" s="29" t="n">
        <f aca="false">E170^(2/3)</f>
        <v>1.03194858483509</v>
      </c>
      <c r="G170" s="29" t="n">
        <f aca="false">C170*F170</f>
        <v>0.568474887839388</v>
      </c>
    </row>
    <row r="171" customFormat="false" ht="15" hidden="false" customHeight="false" outlineLevel="0" collapsed="false">
      <c r="A171" s="53" t="n">
        <v>0.55</v>
      </c>
      <c r="B171" s="29" t="n">
        <f aca="false">2*ACOS(1-2*A171)</f>
        <v>3.34192749591291</v>
      </c>
      <c r="C171" s="29" t="n">
        <f aca="false">(B171-SIN(B171))/(2*PI())</f>
        <v>0.563555714215231</v>
      </c>
      <c r="D171" s="29" t="n">
        <f aca="false">B171/(2*PI())</f>
        <v>0.53188428042926</v>
      </c>
      <c r="E171" s="29" t="n">
        <f aca="false">C171/D171</f>
        <v>1.05954572254027</v>
      </c>
      <c r="F171" s="29" t="n">
        <f aca="false">E171^(2/3)</f>
        <v>1.0393132603087</v>
      </c>
      <c r="G171" s="29" t="n">
        <f aca="false">C171*F171</f>
        <v>0.585710926706631</v>
      </c>
    </row>
    <row r="172" customFormat="false" ht="15" hidden="false" customHeight="false" outlineLevel="0" collapsed="false">
      <c r="A172" s="53" t="n">
        <v>0.56</v>
      </c>
      <c r="B172" s="29" t="n">
        <f aca="false">2*ACOS(1-2*A172)</f>
        <v>3.38217241837937</v>
      </c>
      <c r="C172" s="29" t="n">
        <f aca="false">(B172-SIN(B172))/(2*PI())</f>
        <v>0.576210628110147</v>
      </c>
      <c r="D172" s="29" t="n">
        <f aca="false">B172/(2*PI())</f>
        <v>0.538289458774147</v>
      </c>
      <c r="E172" s="29" t="n">
        <f aca="false">C172/D172</f>
        <v>1.0704475421502</v>
      </c>
      <c r="F172" s="29" t="n">
        <f aca="false">E172^(2/3)</f>
        <v>1.04643018707785</v>
      </c>
      <c r="G172" s="29" t="n">
        <f aca="false">C172*F172</f>
        <v>0.602964195369549</v>
      </c>
    </row>
    <row r="173" customFormat="false" ht="15" hidden="false" customHeight="false" outlineLevel="0" collapsed="false">
      <c r="A173" s="53" t="n">
        <v>0.57</v>
      </c>
      <c r="B173" s="29" t="n">
        <f aca="false">2*ACOS(1-2*A173)</f>
        <v>3.4225154830095</v>
      </c>
      <c r="C173" s="29" t="n">
        <f aca="false">(B173-SIN(B173))/(2*PI())</f>
        <v>0.588834758665865</v>
      </c>
      <c r="D173" s="29" t="n">
        <f aca="false">B173/(2*PI())</f>
        <v>0.544710256929508</v>
      </c>
      <c r="E173" s="29" t="n">
        <f aca="false">C173/D173</f>
        <v>1.08100545413829</v>
      </c>
      <c r="F173" s="29" t="n">
        <f aca="false">E173^(2/3)</f>
        <v>1.05329961014574</v>
      </c>
      <c r="G173" s="29" t="n">
        <f aca="false">C173*F173</f>
        <v>0.620219421743019</v>
      </c>
    </row>
    <row r="174" customFormat="false" ht="15" hidden="false" customHeight="false" outlineLevel="0" collapsed="false">
      <c r="A174" s="53" t="n">
        <v>0.58</v>
      </c>
      <c r="B174" s="29" t="n">
        <f aca="false">2*ACOS(1-2*A174)</f>
        <v>3.46297395949361</v>
      </c>
      <c r="C174" s="29" t="n">
        <f aca="false">(B174-SIN(B174))/(2*PI())</f>
        <v>0.601422880169478</v>
      </c>
      <c r="D174" s="29" t="n">
        <f aca="false">B174/(2*PI())</f>
        <v>0.551149423451922</v>
      </c>
      <c r="E174" s="29" t="n">
        <f aca="false">C174/D174</f>
        <v>1.09121565691331</v>
      </c>
      <c r="F174" s="29" t="n">
        <f aca="false">E174^(2/3)</f>
        <v>1.05992155877732</v>
      </c>
      <c r="G174" s="29" t="n">
        <f aca="false">C174*F174</f>
        <v>0.63746107663358</v>
      </c>
    </row>
    <row r="175" customFormat="false" ht="15" hidden="false" customHeight="false" outlineLevel="0" collapsed="false">
      <c r="A175" s="53" t="n">
        <v>0.59</v>
      </c>
      <c r="B175" s="29" t="n">
        <f aca="false">2*ACOS(1-2*A175)</f>
        <v>3.50356555608289</v>
      </c>
      <c r="C175" s="29" t="n">
        <f aca="false">(B175-SIN(B175))/(2*PI())</f>
        <v>0.613969721908846</v>
      </c>
      <c r="D175" s="29" t="n">
        <f aca="false">B175/(2*PI())</f>
        <v>0.557609776697097</v>
      </c>
      <c r="E175" s="29" t="n">
        <f aca="false">C175/D175</f>
        <v>1.10107416972778</v>
      </c>
      <c r="F175" s="29" t="n">
        <f aca="false">E175^(2/3)</f>
        <v>1.06629584370733</v>
      </c>
      <c r="G175" s="29" t="n">
        <f aca="false">C175*F175</f>
        <v>0.654673362633549</v>
      </c>
    </row>
    <row r="176" customFormat="false" ht="15" hidden="false" customHeight="false" outlineLevel="0" collapsed="false">
      <c r="A176" s="53" t="n">
        <v>0.6</v>
      </c>
      <c r="B176" s="29" t="n">
        <f aca="false">2*ACOS(1-2*A176)</f>
        <v>3.54430849517046</v>
      </c>
      <c r="C176" s="29" t="n">
        <f aca="false">(B176-SIN(B176))/(2*PI())</f>
        <v>0.626469960947669</v>
      </c>
      <c r="D176" s="29" t="n">
        <f aca="false">B176/(2*PI())</f>
        <v>0.564094216848975</v>
      </c>
      <c r="E176" s="29" t="n">
        <f aca="false">C176/D176</f>
        <v>1.11057681897029</v>
      </c>
      <c r="F176" s="29" t="n">
        <f aca="false">E176^(2/3)</f>
        <v>1.07242205306745</v>
      </c>
      <c r="G176" s="29" t="n">
        <f aca="false">C176*F176</f>
        <v>0.671840201704583</v>
      </c>
    </row>
    <row r="177" customFormat="false" ht="15" hidden="false" customHeight="false" outlineLevel="0" collapsed="false">
      <c r="A177" s="53" t="n">
        <v>0.61</v>
      </c>
      <c r="B177" s="29" t="n">
        <f aca="false">2*ACOS(1-2*A177)</f>
        <v>3.58522159458338</v>
      </c>
      <c r="C177" s="29" t="n">
        <f aca="false">(B177-SIN(B177))/(2*PI())</f>
        <v>0.638918214558286</v>
      </c>
      <c r="D177" s="29" t="n">
        <f aca="false">B177/(2*PI())</f>
        <v>0.570605738857753</v>
      </c>
      <c r="E177" s="29" t="n">
        <f aca="false">C177/D177</f>
        <v>1.11971922300901</v>
      </c>
      <c r="F177" s="29" t="n">
        <f aca="false">E177^(2/3)</f>
        <v>1.07829954695399</v>
      </c>
      <c r="G177" s="29" t="n">
        <f aca="false">C177*F177</f>
        <v>0.688945221298854</v>
      </c>
    </row>
    <row r="178" customFormat="false" ht="15" hidden="false" customHeight="false" outlineLevel="0" collapsed="false">
      <c r="A178" s="53" t="n">
        <v>0.62</v>
      </c>
      <c r="B178" s="29" t="n">
        <f aca="false">2*ACOS(1-2*A178)</f>
        <v>3.62632435566772</v>
      </c>
      <c r="C178" s="29" t="n">
        <f aca="false">(B178-SIN(B178))/(2*PI())</f>
        <v>0.651309032253567</v>
      </c>
      <c r="D178" s="29" t="n">
        <f aca="false">B178/(2*PI())</f>
        <v>0.57714744645905</v>
      </c>
      <c r="E178" s="29" t="n">
        <f aca="false">C178/D178</f>
        <v>1.12849677538992</v>
      </c>
      <c r="F178" s="29" t="n">
        <f aca="false">E178^(2/3)</f>
        <v>1.08392745053546</v>
      </c>
      <c r="G178" s="29" t="n">
        <f aca="false">C178*F178</f>
        <v>0.705971738841325</v>
      </c>
    </row>
    <row r="179" customFormat="false" ht="15" hidden="false" customHeight="false" outlineLevel="0" collapsed="false">
      <c r="A179" s="53" t="n">
        <v>0.63</v>
      </c>
      <c r="B179" s="29" t="n">
        <f aca="false">2*ACOS(1-2*A179)</f>
        <v>3.66763705940673</v>
      </c>
      <c r="C179" s="29" t="n">
        <f aca="false">(B179-SIN(B179))/(2*PI())</f>
        <v>0.663636887352716</v>
      </c>
      <c r="D179" s="29" t="n">
        <f aca="false">B179/(2*PI())</f>
        <v>0.583722567471605</v>
      </c>
      <c r="E179" s="29" t="n">
        <f aca="false">C179/D179</f>
        <v>1.13690462616044</v>
      </c>
      <c r="F179" s="29" t="n">
        <f aca="false">E179^(2/3)</f>
        <v>1.08930464557363</v>
      </c>
      <c r="G179" s="29" t="n">
        <f aca="false">C179*F179</f>
        <v>0.722902744367337</v>
      </c>
    </row>
    <row r="180" customFormat="false" ht="15" hidden="false" customHeight="false" outlineLevel="0" collapsed="false">
      <c r="A180" s="53" t="n">
        <v>0.64</v>
      </c>
      <c r="B180" s="29" t="n">
        <f aca="false">2*ACOS(1-2*A180)</f>
        <v>3.70918087200645</v>
      </c>
      <c r="C180" s="29" t="n">
        <f aca="false">(B180-SIN(B180))/(2*PI())</f>
        <v>0.675896168007936</v>
      </c>
      <c r="D180" s="29" t="n">
        <f aca="false">B180/(2*PI())</f>
        <v>0.590334470601733</v>
      </c>
      <c r="E180" s="29" t="n">
        <f aca="false">C180/D180</f>
        <v>1.14493766105</v>
      </c>
      <c r="F180" s="29" t="n">
        <f aca="false">E180^(2/3)</f>
        <v>1.09442976020276</v>
      </c>
      <c r="G180" s="29" t="n">
        <f aca="false">C180*F180</f>
        <v>0.739720881074893</v>
      </c>
    </row>
    <row r="181" customFormat="false" ht="15" hidden="false" customHeight="false" outlineLevel="0" collapsed="false">
      <c r="A181" s="53" t="n">
        <v>0.65</v>
      </c>
      <c r="B181" s="29" t="n">
        <f aca="false">2*ACOS(1-2*A181)</f>
        <v>3.75097796162059</v>
      </c>
      <c r="C181" s="29" t="n">
        <f aca="false">(B181-SIN(B181))/(2*PI())</f>
        <v>0.688081167609464</v>
      </c>
      <c r="D181" s="29" t="n">
        <f aca="false">B181/(2*PI())</f>
        <v>0.596986684020678</v>
      </c>
      <c r="E181" s="29" t="n">
        <f aca="false">C181/D181</f>
        <v>1.15259047819169</v>
      </c>
      <c r="F181" s="29" t="n">
        <f aca="false">E181^(2/3)</f>
        <v>1.09930115677668</v>
      </c>
      <c r="G181" s="29" t="n">
        <f aca="false">C181*F181</f>
        <v>0.75640842350933</v>
      </c>
    </row>
    <row r="182" customFormat="false" ht="15" hidden="false" customHeight="false" outlineLevel="0" collapsed="false">
      <c r="A182" s="53" t="n">
        <v>0.66</v>
      </c>
      <c r="B182" s="29" t="n">
        <f aca="false">2*ACOS(1-2*A182)</f>
        <v>3.79305162817905</v>
      </c>
      <c r="C182" s="29" t="n">
        <f aca="false">(B182-SIN(B182))/(2*PI())</f>
        <v>0.700186074475179</v>
      </c>
      <c r="D182" s="29" t="n">
        <f aca="false">B182/(2*PI())</f>
        <v>0.603682916027458</v>
      </c>
      <c r="E182" s="29" t="n">
        <f aca="false">C182/D182</f>
        <v>1.15985736201177</v>
      </c>
      <c r="F182" s="29" t="n">
        <f aca="false">E182^(2/3)</f>
        <v>1.1039169175527</v>
      </c>
      <c r="G182" s="29" t="n">
        <f aca="false">C182*F182</f>
        <v>0.772947253047968</v>
      </c>
    </row>
    <row r="183" customFormat="false" ht="15" hidden="false" customHeight="false" outlineLevel="0" collapsed="false">
      <c r="A183" s="53" t="n">
        <v>0.67</v>
      </c>
      <c r="B183" s="29" t="n">
        <f aca="false">2*ACOS(1-2*A183)</f>
        <v>3.83542644864412</v>
      </c>
      <c r="C183" s="29" t="n">
        <f aca="false">(B183-SIN(B183))/(2*PI())</f>
        <v>0.71220496071737</v>
      </c>
      <c r="D183" s="29" t="n">
        <f aca="false">B183/(2*PI())</f>
        <v>0.610427078167105</v>
      </c>
      <c r="E183" s="29" t="n">
        <f aca="false">C183/D183</f>
        <v>1.16673225384409</v>
      </c>
      <c r="F183" s="29" t="n">
        <f aca="false">E183^(2/3)</f>
        <v>1.10827482793238</v>
      </c>
      <c r="G183" s="29" t="n">
        <f aca="false">C183*F183</f>
        <v>0.789318830291631</v>
      </c>
    </row>
    <row r="184" customFormat="false" ht="15" hidden="false" customHeight="false" outlineLevel="0" collapsed="false">
      <c r="A184" s="53" t="n">
        <v>0.68</v>
      </c>
      <c r="B184" s="29" t="n">
        <f aca="false">2*ACOS(1-2*A184)</f>
        <v>3.87812844046307</v>
      </c>
      <c r="C184" s="29" t="n">
        <f aca="false">(B184-SIN(B184))/(2*PI())</f>
        <v>0.724131770162864</v>
      </c>
      <c r="D184" s="29" t="n">
        <f aca="false">B184/(2*PI())</f>
        <v>0.617223311244961</v>
      </c>
      <c r="E184" s="29" t="n">
        <f aca="false">C184/D184</f>
        <v>1.17320871874114</v>
      </c>
      <c r="F184" s="29" t="n">
        <f aca="false">E184^(2/3)</f>
        <v>1.11237235691931</v>
      </c>
      <c r="G184" s="29" t="n">
        <f aca="false">C184*F184</f>
        <v>0.805504163896214</v>
      </c>
    </row>
    <row r="185" customFormat="false" ht="15" hidden="false" customHeight="false" outlineLevel="0" collapsed="false">
      <c r="A185" s="53" t="n">
        <v>0.69</v>
      </c>
      <c r="B185" s="29" t="n">
        <f aca="false">2*ACOS(1-2*A185)</f>
        <v>3.92118524653831</v>
      </c>
      <c r="C185" s="29" t="n">
        <f aca="false">(B185-SIN(B185))/(2*PI())</f>
        <v>0.735960305182967</v>
      </c>
      <c r="D185" s="29" t="n">
        <f aca="false">B185/(2*PI())</f>
        <v>0.624076014765585</v>
      </c>
      <c r="E185" s="29" t="n">
        <f aca="false">C185/D185</f>
        <v>1.1792799078481</v>
      </c>
      <c r="F185" s="29" t="n">
        <f aca="false">E185^(2/3)</f>
        <v>1.11620663438218</v>
      </c>
      <c r="G185" s="29" t="n">
        <f aca="false">C185*F185</f>
        <v>0.82148377528716</v>
      </c>
    </row>
    <row r="186" customFormat="false" ht="15" hidden="false" customHeight="false" outlineLevel="0" collapsed="false">
      <c r="A186" s="53" t="n">
        <v>0.7</v>
      </c>
      <c r="B186" s="29" t="n">
        <f aca="false">2*ACOS(1-2*A186)</f>
        <v>3.96462634572477</v>
      </c>
      <c r="C186" s="29" t="n">
        <f aca="false">(B186-SIN(B186))/(2*PI())</f>
        <v>0.747684212265655</v>
      </c>
      <c r="D186" s="29" t="n">
        <f aca="false">B186/(2*PI())</f>
        <v>0.630989880434455</v>
      </c>
      <c r="E186" s="29" t="n">
        <f aca="false">C186/D186</f>
        <v>1.18493851557628</v>
      </c>
      <c r="F186" s="29" t="n">
        <f aca="false">E186^(2/3)</f>
        <v>1.11977442462173</v>
      </c>
      <c r="G186" s="29" t="n">
        <f aca="false">C186*F186</f>
        <v>0.837237658588526</v>
      </c>
    </row>
    <row r="187" customFormat="false" ht="15" hidden="false" customHeight="false" outlineLevel="0" collapsed="false">
      <c r="A187" s="53" t="n">
        <v>0.71</v>
      </c>
      <c r="B187" s="29" t="n">
        <f aca="false">2*ACOS(1-2*A187)</f>
        <v>4.00848329372957</v>
      </c>
      <c r="C187" s="29" t="n">
        <f aca="false">(B187-SIN(B187))/(2*PI())</f>
        <v>0.759296966133262</v>
      </c>
      <c r="D187" s="29" t="n">
        <f aca="false">B187/(2*PI())</f>
        <v>0.637969930498342</v>
      </c>
      <c r="E187" s="29" t="n">
        <f aca="false">C187/D187</f>
        <v>1.19017673064959</v>
      </c>
      <c r="F187" s="29" t="n">
        <f aca="false">E187^(2/3)</f>
        <v>1.12307209562967</v>
      </c>
      <c r="G187" s="29" t="n">
        <f aca="false">C187*F187</f>
        <v>0.852745234960533</v>
      </c>
    </row>
    <row r="188" customFormat="false" ht="15" hidden="false" customHeight="false" outlineLevel="0" collapsed="false">
      <c r="A188" s="53" t="n">
        <v>0.72</v>
      </c>
      <c r="B188" s="29" t="n">
        <f aca="false">2*ACOS(1-2*A188)</f>
        <v>4.05279000038144</v>
      </c>
      <c r="C188" s="29" t="n">
        <f aca="false">(B188-SIN(B188))/(2*PI())</f>
        <v>0.770791852173153</v>
      </c>
      <c r="D188" s="29" t="n">
        <f aca="false">B188/(2*PI())</f>
        <v>0.645021561874111</v>
      </c>
      <c r="E188" s="29" t="n">
        <f aca="false">C188/D188</f>
        <v>1.19498617989392</v>
      </c>
      <c r="F188" s="29" t="n">
        <f aca="false">E188^(2/3)</f>
        <v>1.12609558328907</v>
      </c>
      <c r="G188" s="29" t="n">
        <f aca="false">C188*F188</f>
        <v>0.867985300367387</v>
      </c>
    </row>
    <row r="189" customFormat="false" ht="15" hidden="false" customHeight="false" outlineLevel="0" collapsed="false">
      <c r="A189" s="53" t="n">
        <v>0.73</v>
      </c>
      <c r="B189" s="29" t="n">
        <f aca="false">2*ACOS(1-2*A189)</f>
        <v>4.0975830506277</v>
      </c>
      <c r="C189" s="29" t="n">
        <f aca="false">(B189-SIN(B189))/(2*PI())</f>
        <v>0.782161946904808</v>
      </c>
      <c r="D189" s="29" t="n">
        <f aca="false">B189/(2*PI())</f>
        <v>0.652150597236966</v>
      </c>
      <c r="E189" s="29" t="n">
        <f aca="false">C189/D189</f>
        <v>1.19935786338106</v>
      </c>
      <c r="F189" s="29" t="n">
        <f aca="false">E189^(2/3)</f>
        <v>1.12884034959107</v>
      </c>
      <c r="G189" s="29" t="n">
        <f aca="false">C189*F189</f>
        <v>0.882935965580855</v>
      </c>
    </row>
    <row r="190" customFormat="false" ht="15" hidden="false" customHeight="false" outlineLevel="0" collapsed="false">
      <c r="A190" s="53" t="n">
        <v>0.74</v>
      </c>
      <c r="B190" s="29" t="n">
        <f aca="false">2*ACOS(1-2*A190)</f>
        <v>4.14290207839897</v>
      </c>
      <c r="C190" s="29" t="n">
        <f aca="false">(B190-SIN(B190))/(2*PI())</f>
        <v>0.793400096152186</v>
      </c>
      <c r="D190" s="29" t="n">
        <f aca="false">B190/(2*PI())</f>
        <v>0.659363344522883</v>
      </c>
      <c r="E190" s="29" t="n">
        <f aca="false">C190/D190</f>
        <v>1.20328207920974</v>
      </c>
      <c r="F190" s="29" t="n">
        <f aca="false">E190^(2/3)</f>
        <v>1.13130133372024</v>
      </c>
      <c r="G190" s="29" t="n">
        <f aca="false">C190*F190</f>
        <v>0.897574586950733</v>
      </c>
    </row>
    <row r="191" customFormat="false" ht="15" hidden="false" customHeight="false" outlineLevel="0" collapsed="false">
      <c r="A191" s="53" t="n">
        <v>0.75</v>
      </c>
      <c r="B191" s="29" t="n">
        <f aca="false">2*ACOS(1-2*A191)</f>
        <v>4.18879020478639</v>
      </c>
      <c r="C191" s="29" t="n">
        <f aca="false">(B191-SIN(B191))/(2*PI())</f>
        <v>0.804498890522115</v>
      </c>
      <c r="D191" s="29" t="n">
        <f aca="false">B191/(2*PI())</f>
        <v>0.666666666666667</v>
      </c>
      <c r="E191" s="29" t="n">
        <f aca="false">C191/D191</f>
        <v>1.20674833578317</v>
      </c>
      <c r="F191" s="29" t="n">
        <f aca="false">E191^(2/3)</f>
        <v>1.13347289457539</v>
      </c>
      <c r="G191" s="29" t="n">
        <f aca="false">C191*F191</f>
        <v>0.911877686122795</v>
      </c>
    </row>
    <row r="192" customFormat="false" ht="15" hidden="false" customHeight="false" outlineLevel="0" collapsed="false">
      <c r="A192" s="53" t="n">
        <v>0.76</v>
      </c>
      <c r="B192" s="29" t="n">
        <f aca="false">2*ACOS(1-2*A192)</f>
        <v>4.23529455498168</v>
      </c>
      <c r="C192" s="29" t="n">
        <f aca="false">(B192-SIN(B192))/(2*PI())</f>
        <v>0.815450637703792</v>
      </c>
      <c r="D192" s="29" t="n">
        <f aca="false">B192/(2*PI())</f>
        <v>0.674068063875524</v>
      </c>
      <c r="E192" s="29" t="n">
        <f aca="false">C192/D192</f>
        <v>1.20974524889281</v>
      </c>
      <c r="F192" s="29" t="n">
        <f aca="false">E192^(2/3)</f>
        <v>1.13534874292267</v>
      </c>
      <c r="G192" s="29" t="n">
        <f aca="false">C192*F192</f>
        <v>0.925820856432492</v>
      </c>
    </row>
    <row r="193" customFormat="false" ht="15" hidden="false" customHeight="false" outlineLevel="0" collapsed="false">
      <c r="A193" s="53" t="n">
        <v>0.77</v>
      </c>
      <c r="B193" s="29" t="n">
        <f aca="false">2*ACOS(1-2*A193)</f>
        <v>4.28246687238964</v>
      </c>
      <c r="C193" s="29" t="n">
        <f aca="false">(B193-SIN(B193))/(2*PI())</f>
        <v>0.826247330995882</v>
      </c>
      <c r="D193" s="29" t="n">
        <f aca="false">B193/(2*PI())</f>
        <v>0.6815757713681</v>
      </c>
      <c r="E193" s="29" t="n">
        <f aca="false">C193/D193</f>
        <v>1.21226042019861</v>
      </c>
      <c r="F193" s="29" t="n">
        <f aca="false">E193^(2/3)</f>
        <v>1.1369218608929</v>
      </c>
      <c r="G193" s="29" t="n">
        <f aca="false">C193*F193</f>
        <v>0.939378653113631</v>
      </c>
    </row>
    <row r="194" customFormat="false" ht="15" hidden="false" customHeight="false" outlineLevel="0" collapsed="false">
      <c r="A194" s="53" t="n">
        <v>0.78</v>
      </c>
      <c r="B194" s="29" t="n">
        <f aca="false">2*ACOS(1-2*A194)</f>
        <v>4.33036425359192</v>
      </c>
      <c r="C194" s="29" t="n">
        <f aca="false">(B194-SIN(B194))/(2*PI())</f>
        <v>0.836880613328781</v>
      </c>
      <c r="D194" s="29" t="n">
        <f aca="false">B194/(2*PI())</f>
        <v>0.6891988763476</v>
      </c>
      <c r="E194" s="29" t="n">
        <f aca="false">C194/D194</f>
        <v>1.21428029274194</v>
      </c>
      <c r="F194" s="29" t="n">
        <f aca="false">E194^(2/3)</f>
        <v>1.13818440589414</v>
      </c>
      <c r="G194" s="29" t="n">
        <f aca="false">C194*F194</f>
        <v>0.952524463685938</v>
      </c>
    </row>
    <row r="195" customFormat="false" ht="15" hidden="false" customHeight="false" outlineLevel="0" collapsed="false">
      <c r="A195" s="53" t="n">
        <v>0.79</v>
      </c>
      <c r="B195" s="29" t="n">
        <f aca="false">2*ACOS(1-2*A195)</f>
        <v>4.3790500349343</v>
      </c>
      <c r="C195" s="29" t="n">
        <f aca="false">(B195-SIN(B195))/(2*PI())</f>
        <v>0.847341735870125</v>
      </c>
      <c r="D195" s="29" t="n">
        <f aca="false">B195/(2*PI())</f>
        <v>0.69694745910653</v>
      </c>
      <c r="E195" s="29" t="n">
        <f aca="false">C195/D195</f>
        <v>1.21578997785055</v>
      </c>
      <c r="F195" s="29" t="n">
        <f aca="false">E195^(2/3)</f>
        <v>1.13912759515165</v>
      </c>
      <c r="G195" s="29" t="n">
        <f aca="false">C195*F195</f>
        <v>0.965230353853362</v>
      </c>
    </row>
    <row r="196" customFormat="false" ht="15" hidden="false" customHeight="false" outlineLevel="0" collapsed="false">
      <c r="A196" s="53" t="n">
        <v>0.8</v>
      </c>
      <c r="B196" s="29" t="n">
        <f aca="false">2*ACOS(1-2*A196)</f>
        <v>4.42859487117636</v>
      </c>
      <c r="C196" s="29" t="n">
        <f aca="false">(B196-SIN(B196))/(2*PI())</f>
        <v>0.857621510067353</v>
      </c>
      <c r="D196" s="29" t="n">
        <f aca="false">B196/(2*PI())</f>
        <v>0.704832764699134</v>
      </c>
      <c r="E196" s="29" t="n">
        <f aca="false">C196/D196</f>
        <v>1.21677304606212</v>
      </c>
      <c r="F196" s="29" t="n">
        <f aca="false">E196^(2/3)</f>
        <v>1.13974156592413</v>
      </c>
      <c r="G196" s="29" t="n">
        <f aca="false">C196*F196</f>
        <v>0.977466882854385</v>
      </c>
    </row>
    <row r="197" customFormat="false" ht="15" hidden="false" customHeight="false" outlineLevel="0" collapsed="false">
      <c r="A197" s="53" t="n">
        <v>0.81</v>
      </c>
      <c r="B197" s="29" t="n">
        <f aca="false">2*ACOS(1-2*A197)</f>
        <v>4.47907805999454</v>
      </c>
      <c r="C197" s="29" t="n">
        <f aca="false">(B197-SIN(B197))/(2*PI())</f>
        <v>0.867710251671714</v>
      </c>
      <c r="D197" s="29" t="n">
        <f aca="false">B197/(2*PI())</f>
        <v>0.712867413742587</v>
      </c>
      <c r="E197" s="29" t="n">
        <f aca="false">C197/D197</f>
        <v>1.21721127231247</v>
      </c>
      <c r="F197" s="29" t="n">
        <f aca="false">E197^(2/3)</f>
        <v>1.14001520484607</v>
      </c>
      <c r="G197" s="29" t="n">
        <f aca="false">C197*F197</f>
        <v>0.989202880306568</v>
      </c>
    </row>
    <row r="198" customFormat="false" ht="15" hidden="false" customHeight="false" outlineLevel="0" collapsed="false">
      <c r="A198" s="53" t="n">
        <v>0.82</v>
      </c>
      <c r="B198" s="29" t="n">
        <f aca="false">2*ACOS(1-2*A198)</f>
        <v>4.5305891848429</v>
      </c>
      <c r="C198" s="29" t="n">
        <f aca="false">(B198-SIN(B198))/(2*PI())</f>
        <v>0.877597714874301</v>
      </c>
      <c r="D198" s="29" t="n">
        <f aca="false">B198/(2*PI())</f>
        <v>0.721065663886429</v>
      </c>
      <c r="E198" s="29" t="n">
        <f aca="false">C198/D198</f>
        <v>1.21708432231288</v>
      </c>
      <c r="F198" s="29" t="n">
        <f aca="false">E198^(2/3)</f>
        <v>1.13993593761784</v>
      </c>
      <c r="G198" s="29" t="n">
        <f aca="false">C198*F198</f>
        <v>1.00040517395651</v>
      </c>
    </row>
    <row r="199" customFormat="false" ht="15" hidden="false" customHeight="false" outlineLevel="0" collapsed="false">
      <c r="A199" s="53" t="n">
        <v>0.83</v>
      </c>
      <c r="B199" s="29" t="n">
        <f aca="false">2*ACOS(1-2*A199)</f>
        <v>4.58323017532997</v>
      </c>
      <c r="C199" s="29" t="n">
        <f aca="false">(B199-SIN(B199))/(2*PI())</f>
        <v>0.887273014123608</v>
      </c>
      <c r="D199" s="29" t="n">
        <f aca="false">B199/(2*PI())</f>
        <v>0.729443737731699</v>
      </c>
      <c r="E199" s="29" t="n">
        <f aca="false">C199/D199</f>
        <v>1.21636936233451</v>
      </c>
      <c r="F199" s="29" t="n">
        <f aca="false">E199^(2/3)</f>
        <v>1.13948946710711</v>
      </c>
      <c r="G199" s="29" t="n">
        <f aca="false">C199*F199</f>
        <v>1.01103825404223</v>
      </c>
    </row>
    <row r="200" customFormat="false" ht="15" hidden="false" customHeight="false" outlineLevel="0" collapsed="false">
      <c r="A200" s="53" t="n">
        <v>0.84</v>
      </c>
      <c r="B200" s="29" t="n">
        <f aca="false">2*ACOS(1-2*A200)</f>
        <v>4.63711792290963</v>
      </c>
      <c r="C200" s="29" t="n">
        <f aca="false">(B200-SIN(B200))/(2*PI())</f>
        <v>0.896724530421523</v>
      </c>
      <c r="D200" s="29" t="n">
        <f aca="false">B200/(2*PI())</f>
        <v>0.738020239131091</v>
      </c>
      <c r="E200" s="29" t="n">
        <f aca="false">C200/D200</f>
        <v>1.21504056782682</v>
      </c>
      <c r="F200" s="29" t="n">
        <f aca="false">E200^(2/3)</f>
        <v>1.1386594433721</v>
      </c>
      <c r="G200" s="29" t="n">
        <f aca="false">C200*F200</f>
        <v>1.02106385466787</v>
      </c>
    </row>
    <row r="201" customFormat="false" ht="15" hidden="false" customHeight="false" outlineLevel="0" collapsed="false">
      <c r="A201" s="53" t="n">
        <v>0.85</v>
      </c>
      <c r="B201" s="29" t="n">
        <f aca="false">2*ACOS(1-2*A201)</f>
        <v>4.6923876468113</v>
      </c>
      <c r="C201" s="29" t="n">
        <f aca="false">(B201-SIN(B201))/(2*PI())</f>
        <v>0.905939797812906</v>
      </c>
      <c r="D201" s="29" t="n">
        <f aca="false">B201/(2*PI())</f>
        <v>0.746816688893365</v>
      </c>
      <c r="E201" s="29" t="n">
        <f aca="false">C201/D201</f>
        <v>1.21306849630708</v>
      </c>
      <c r="F201" s="29" t="n">
        <f aca="false">E201^(2/3)</f>
        <v>1.13742704242007</v>
      </c>
      <c r="G201" s="29" t="n">
        <f aca="false">C201*F201</f>
        <v>1.03044042483697</v>
      </c>
    </row>
    <row r="202" customFormat="false" ht="15" hidden="false" customHeight="false" outlineLevel="0" collapsed="false">
      <c r="A202" s="53" t="n">
        <v>0.86</v>
      </c>
      <c r="B202" s="29" t="n">
        <f aca="false">2*ACOS(1-2*A202)</f>
        <v>4.74919729145585</v>
      </c>
      <c r="C202" s="29" t="n">
        <f aca="false">(B202-SIN(B202))/(2*PI())</f>
        <v>0.914905364240349</v>
      </c>
      <c r="D202" s="29" t="n">
        <f aca="false">B202/(2*PI())</f>
        <v>0.75585822465384</v>
      </c>
      <c r="E202" s="29" t="n">
        <f aca="false">C202/D202</f>
        <v>1.21041927493658</v>
      </c>
      <c r="F202" s="29" t="n">
        <f aca="false">E202^(2/3)</f>
        <v>1.13577042044956</v>
      </c>
      <c r="G202" s="29" t="n">
        <f aca="false">C202*F202</f>
        <v>1.03912245021482</v>
      </c>
    </row>
    <row r="203" customFormat="false" ht="15" hidden="false" customHeight="false" outlineLevel="0" collapsed="false">
      <c r="A203" s="53" t="n">
        <v>0.87</v>
      </c>
      <c r="B203" s="29" t="n">
        <f aca="false">2*ACOS(1-2*A203)</f>
        <v>4.80773337027309</v>
      </c>
      <c r="C203" s="29" t="n">
        <f aca="false">(B203-SIN(B203))/(2*PI())</f>
        <v>0.923606618686441</v>
      </c>
      <c r="D203" s="29" t="n">
        <f aca="false">B203/(2*PI())</f>
        <v>0.76517453094682</v>
      </c>
      <c r="E203" s="29" t="n">
        <f aca="false">C203/D203</f>
        <v>1.20705353005357</v>
      </c>
      <c r="F203" s="29" t="n">
        <f aca="false">E203^(2/3)</f>
        <v>1.13366399482011</v>
      </c>
      <c r="G203" s="29" t="n">
        <f aca="false">C203*F203</f>
        <v>1.04705956898237</v>
      </c>
    </row>
    <row r="204" customFormat="false" ht="15" hidden="false" customHeight="false" outlineLevel="0" collapsed="false">
      <c r="A204" s="53" t="n">
        <v>0.88</v>
      </c>
      <c r="B204" s="29" t="n">
        <f aca="false">2*ACOS(1-2*A204)</f>
        <v>4.8682188836209</v>
      </c>
      <c r="C204" s="29" t="n">
        <f aca="false">(B204-SIN(B204))/(2*PI())</f>
        <v>0.932027573169466</v>
      </c>
      <c r="D204" s="29" t="n">
        <f aca="false">B204/(2*PI())</f>
        <v>0.774801099381575</v>
      </c>
      <c r="E204" s="29" t="n">
        <f aca="false">C204/D204</f>
        <v>1.20292494927199</v>
      </c>
      <c r="F204" s="29" t="n">
        <f aca="false">E204^(2/3)</f>
        <v>1.13107747844425</v>
      </c>
      <c r="G204" s="29" t="n">
        <f aca="false">C204*F204</f>
        <v>1.05419539730104</v>
      </c>
    </row>
    <row r="205" customFormat="false" ht="15" hidden="false" customHeight="false" outlineLevel="0" collapsed="false">
      <c r="A205" s="53" t="n">
        <v>0.89</v>
      </c>
      <c r="B205" s="29" t="n">
        <f aca="false">2*ACOS(1-2*A205)</f>
        <v>4.93092428805826</v>
      </c>
      <c r="C205" s="29" t="n">
        <f aca="false">(B205-SIN(B205))/(2*PI())</f>
        <v>0.940150583012613</v>
      </c>
      <c r="D205" s="29" t="n">
        <f aca="false">B205/(2*PI())</f>
        <v>0.784780974456358</v>
      </c>
      <c r="E205" s="29" t="n">
        <f aca="false">C205/D205</f>
        <v>1.19797830683126</v>
      </c>
      <c r="F205" s="29" t="n">
        <f aca="false">E205^(2/3)</f>
        <v>1.1279745541826</v>
      </c>
      <c r="G205" s="29" t="n">
        <f aca="false">C205*F205</f>
        <v>1.06046593473816</v>
      </c>
    </row>
    <row r="206" customFormat="false" ht="15" hidden="false" customHeight="false" outlineLevel="0" collapsed="false">
      <c r="A206" s="53" t="n">
        <v>0.9</v>
      </c>
      <c r="B206" s="29" t="n">
        <f aca="false">2*ACOS(1-2*A206)</f>
        <v>4.99618308959302</v>
      </c>
      <c r="C206" s="29" t="n">
        <f aca="false">(B206-SIN(B206))/(2*PI())</f>
        <v>0.947955980669086</v>
      </c>
      <c r="D206" s="29" t="n">
        <f aca="false">B206/(2*PI())</f>
        <v>0.795167235300867</v>
      </c>
      <c r="E206" s="29" t="n">
        <f aca="false">C206/D206</f>
        <v>1.19214668133353</v>
      </c>
      <c r="F206" s="29" t="n">
        <f aca="false">E206^(2/3)</f>
        <v>1.12431100786695</v>
      </c>
      <c r="G206" s="29" t="n">
        <f aca="false">C206*F206</f>
        <v>1.06579734403957</v>
      </c>
    </row>
  </sheetData>
  <mergeCells count="19">
    <mergeCell ref="A1:I1"/>
    <mergeCell ref="A2:I2"/>
    <mergeCell ref="A3:I3"/>
    <mergeCell ref="A6:I6"/>
    <mergeCell ref="B7:I7"/>
    <mergeCell ref="A46:I46"/>
    <mergeCell ref="B47:I47"/>
    <mergeCell ref="A54:I54"/>
    <mergeCell ref="B55:I55"/>
    <mergeCell ref="A63:I63"/>
    <mergeCell ref="B64:I64"/>
    <mergeCell ref="A72:I72"/>
    <mergeCell ref="B73:I73"/>
    <mergeCell ref="A80:I80"/>
    <mergeCell ref="A90:I90"/>
    <mergeCell ref="A98:I98"/>
    <mergeCell ref="A104:I104"/>
    <mergeCell ref="A114:I114"/>
    <mergeCell ref="B115:I115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2026-10-29T08:03:50Z</dcterms:created>
  <dc:creator>openpyxl</dc:creator>
  <dc:description/>
  <dc:language>en-US</dc:language>
  <cp:lastModifiedBy/>
  <dcterms:modified xsi:type="dcterms:W3CDTF">2026-10-29T08:03:50Z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